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aa\Downloads\"/>
    </mc:Choice>
  </mc:AlternateContent>
  <xr:revisionPtr revIDLastSave="0" documentId="13_ncr:1_{090284A1-EDDC-424D-9490-8B13EB4B9048}" xr6:coauthVersionLast="47" xr6:coauthVersionMax="47" xr10:uidLastSave="{00000000-0000-0000-0000-000000000000}"/>
  <bookViews>
    <workbookView xWindow="-110" yWindow="-110" windowWidth="19420" windowHeight="10420" firstSheet="2" activeTab="4" xr2:uid="{00000000-000D-0000-FFFF-FFFF00000000}"/>
  </bookViews>
  <sheets>
    <sheet name="Dashboard_Questions" sheetId="4" r:id="rId1"/>
    <sheet name="Read_Me" sheetId="1" r:id="rId2"/>
    <sheet name="Sales_Data" sheetId="2" r:id="rId3"/>
    <sheet name="Pivot_Tables" sheetId="6" r:id="rId4"/>
    <sheet name="EXECUTIVE SUMMARY" sheetId="5" r:id="rId5"/>
    <sheet name="DETAILED ANALYSIS" sheetId="8" r:id="rId6"/>
    <sheet name="ExportLog" sheetId="9" state="hidden" r:id="rId7"/>
  </sheets>
  <definedNames>
    <definedName name="NativeTimeline_Order_Date">#N/A</definedName>
    <definedName name="Slicer_Category">#N/A</definedName>
    <definedName name="Slicer_Customer_Segment">#N/A</definedName>
    <definedName name="Slicer_Payment_Method">#N/A</definedName>
    <definedName name="Slicer_Region">#N/A</definedName>
    <definedName name="Slicer_Sales_Channel">#N/A</definedName>
    <definedName name="Slicer_Sales_Rep">#N/A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1" i="6" l="1"/>
  <c r="D61" i="6"/>
  <c r="C62" i="6"/>
  <c r="D62" i="6"/>
  <c r="C63" i="6"/>
  <c r="D63" i="6"/>
  <c r="C64" i="6"/>
  <c r="D64" i="6"/>
  <c r="D60" i="6"/>
  <c r="C60" i="6"/>
  <c r="B105" i="6"/>
  <c r="C105" i="6"/>
  <c r="B106" i="6"/>
  <c r="C106" i="6"/>
  <c r="B107" i="6"/>
  <c r="C107" i="6"/>
  <c r="B108" i="6"/>
  <c r="C108" i="6"/>
  <c r="A106" i="6"/>
  <c r="A107" i="6"/>
  <c r="A108" i="6"/>
  <c r="A105" i="6"/>
  <c r="K99" i="6"/>
  <c r="L99" i="6"/>
  <c r="K100" i="6"/>
  <c r="L100" i="6"/>
  <c r="K101" i="6"/>
  <c r="L101" i="6"/>
  <c r="K102" i="6"/>
  <c r="L102" i="6"/>
  <c r="L98" i="6"/>
  <c r="K98" i="6"/>
  <c r="C97" i="6" l="1"/>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B11" i="6"/>
  <c r="C65" i="6"/>
  <c r="K84" i="6"/>
  <c r="J38"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A10" i="6"/>
  <c r="I5" i="6"/>
  <c r="A5" i="6"/>
  <c r="S241" i="2"/>
  <c r="T241" i="2" s="1"/>
  <c r="U241" i="2" s="1"/>
  <c r="R241" i="2"/>
  <c r="E241" i="2"/>
  <c r="S240" i="2"/>
  <c r="R240" i="2"/>
  <c r="E240" i="2"/>
  <c r="S239" i="2"/>
  <c r="R239" i="2"/>
  <c r="E239" i="2"/>
  <c r="S238" i="2"/>
  <c r="R238" i="2"/>
  <c r="E238" i="2"/>
  <c r="S237" i="2"/>
  <c r="R237" i="2"/>
  <c r="E237" i="2"/>
  <c r="S236" i="2"/>
  <c r="R236" i="2"/>
  <c r="E236" i="2"/>
  <c r="S235" i="2"/>
  <c r="R235" i="2"/>
  <c r="E235" i="2"/>
  <c r="S234" i="2"/>
  <c r="R234" i="2"/>
  <c r="E234" i="2"/>
  <c r="T233" i="2"/>
  <c r="U233" i="2" s="1"/>
  <c r="S233" i="2"/>
  <c r="R233" i="2"/>
  <c r="E233" i="2"/>
  <c r="S232" i="2"/>
  <c r="R232" i="2"/>
  <c r="E232" i="2"/>
  <c r="S231" i="2"/>
  <c r="R231" i="2"/>
  <c r="E231" i="2"/>
  <c r="S230" i="2"/>
  <c r="R230" i="2"/>
  <c r="E230" i="2"/>
  <c r="S229" i="2"/>
  <c r="R229" i="2"/>
  <c r="T229" i="2" s="1"/>
  <c r="U229" i="2" s="1"/>
  <c r="E229" i="2"/>
  <c r="S228" i="2"/>
  <c r="R228" i="2"/>
  <c r="E228" i="2"/>
  <c r="S227" i="2"/>
  <c r="R227" i="2"/>
  <c r="E227" i="2"/>
  <c r="S226" i="2"/>
  <c r="R226" i="2"/>
  <c r="E226" i="2"/>
  <c r="S225" i="2"/>
  <c r="R225" i="2"/>
  <c r="E225" i="2"/>
  <c r="S224" i="2"/>
  <c r="R224" i="2"/>
  <c r="E224" i="2"/>
  <c r="S223" i="2"/>
  <c r="R223" i="2"/>
  <c r="T223" i="2" s="1"/>
  <c r="U223" i="2" s="1"/>
  <c r="E223" i="2"/>
  <c r="S222" i="2"/>
  <c r="R222" i="2"/>
  <c r="E222" i="2"/>
  <c r="S221" i="2"/>
  <c r="R221" i="2"/>
  <c r="T221" i="2" s="1"/>
  <c r="U221" i="2" s="1"/>
  <c r="E221" i="2"/>
  <c r="S220" i="2"/>
  <c r="R220" i="2"/>
  <c r="E220" i="2"/>
  <c r="S219" i="2"/>
  <c r="R219" i="2"/>
  <c r="E219" i="2"/>
  <c r="S218" i="2"/>
  <c r="R218" i="2"/>
  <c r="E218" i="2"/>
  <c r="S217" i="2"/>
  <c r="R217" i="2"/>
  <c r="E217" i="2"/>
  <c r="S216" i="2"/>
  <c r="R216" i="2"/>
  <c r="E216" i="2"/>
  <c r="S215" i="2"/>
  <c r="R215" i="2"/>
  <c r="T215" i="2" s="1"/>
  <c r="U215" i="2" s="1"/>
  <c r="E215" i="2"/>
  <c r="S214" i="2"/>
  <c r="R214" i="2"/>
  <c r="E214" i="2"/>
  <c r="S213" i="2"/>
  <c r="R213" i="2"/>
  <c r="E213" i="2"/>
  <c r="S212" i="2"/>
  <c r="R212" i="2"/>
  <c r="E212" i="2"/>
  <c r="S211" i="2"/>
  <c r="R211" i="2"/>
  <c r="E211" i="2"/>
  <c r="S210" i="2"/>
  <c r="R210" i="2"/>
  <c r="E210" i="2"/>
  <c r="S209" i="2"/>
  <c r="R209" i="2"/>
  <c r="E209" i="2"/>
  <c r="S208" i="2"/>
  <c r="R208" i="2"/>
  <c r="T208" i="2" s="1"/>
  <c r="U208" i="2" s="1"/>
  <c r="E208" i="2"/>
  <c r="S207" i="2"/>
  <c r="R207" i="2"/>
  <c r="E207" i="2"/>
  <c r="S206" i="2"/>
  <c r="R206" i="2"/>
  <c r="E206" i="2"/>
  <c r="S205" i="2"/>
  <c r="R205" i="2"/>
  <c r="E205" i="2"/>
  <c r="S204" i="2"/>
  <c r="R204" i="2"/>
  <c r="E204" i="2"/>
  <c r="S203" i="2"/>
  <c r="R203" i="2"/>
  <c r="E203" i="2"/>
  <c r="S202" i="2"/>
  <c r="R202" i="2"/>
  <c r="E202" i="2"/>
  <c r="S201" i="2"/>
  <c r="R201" i="2"/>
  <c r="T201" i="2" s="1"/>
  <c r="U201" i="2" s="1"/>
  <c r="E201" i="2"/>
  <c r="S200" i="2"/>
  <c r="R200" i="2"/>
  <c r="E200" i="2"/>
  <c r="S199" i="2"/>
  <c r="R199" i="2"/>
  <c r="E199" i="2"/>
  <c r="S198" i="2"/>
  <c r="R198" i="2"/>
  <c r="E198" i="2"/>
  <c r="S197" i="2"/>
  <c r="R197" i="2"/>
  <c r="E197" i="2"/>
  <c r="S196" i="2"/>
  <c r="R196" i="2"/>
  <c r="E196" i="2"/>
  <c r="S195" i="2"/>
  <c r="R195" i="2"/>
  <c r="E195" i="2"/>
  <c r="S194" i="2"/>
  <c r="R194" i="2"/>
  <c r="E194" i="2"/>
  <c r="S193" i="2"/>
  <c r="R193" i="2"/>
  <c r="T193" i="2" s="1"/>
  <c r="U193" i="2" s="1"/>
  <c r="E193" i="2"/>
  <c r="S192" i="2"/>
  <c r="R192" i="2"/>
  <c r="E192" i="2"/>
  <c r="S191" i="2"/>
  <c r="R191" i="2"/>
  <c r="E191" i="2"/>
  <c r="S190" i="2"/>
  <c r="R190" i="2"/>
  <c r="E190" i="2"/>
  <c r="S189" i="2"/>
  <c r="R189" i="2"/>
  <c r="E189" i="2"/>
  <c r="S188" i="2"/>
  <c r="R188" i="2"/>
  <c r="E188" i="2"/>
  <c r="S187" i="2"/>
  <c r="R187" i="2"/>
  <c r="E187" i="2"/>
  <c r="S186" i="2"/>
  <c r="R186" i="2"/>
  <c r="E186" i="2"/>
  <c r="S185" i="2"/>
  <c r="R185" i="2"/>
  <c r="E185" i="2"/>
  <c r="S184" i="2"/>
  <c r="R184" i="2"/>
  <c r="E184" i="2"/>
  <c r="S183" i="2"/>
  <c r="R183" i="2"/>
  <c r="E183" i="2"/>
  <c r="S182" i="2"/>
  <c r="R182" i="2"/>
  <c r="E182" i="2"/>
  <c r="S181" i="2"/>
  <c r="R181" i="2"/>
  <c r="E181" i="2"/>
  <c r="S180" i="2"/>
  <c r="R180" i="2"/>
  <c r="E180" i="2"/>
  <c r="S179" i="2"/>
  <c r="R179" i="2"/>
  <c r="E179" i="2"/>
  <c r="S178" i="2"/>
  <c r="R178" i="2"/>
  <c r="E178" i="2"/>
  <c r="S177" i="2"/>
  <c r="R177" i="2"/>
  <c r="T177" i="2" s="1"/>
  <c r="U177" i="2" s="1"/>
  <c r="E177" i="2"/>
  <c r="S176" i="2"/>
  <c r="R176" i="2"/>
  <c r="E176" i="2"/>
  <c r="S175" i="2"/>
  <c r="R175" i="2"/>
  <c r="E175" i="2"/>
  <c r="S174" i="2"/>
  <c r="R174" i="2"/>
  <c r="E174" i="2"/>
  <c r="S173" i="2"/>
  <c r="R173" i="2"/>
  <c r="E173" i="2"/>
  <c r="S172" i="2"/>
  <c r="R172" i="2"/>
  <c r="E172" i="2"/>
  <c r="S171" i="2"/>
  <c r="R171" i="2"/>
  <c r="E171" i="2"/>
  <c r="S170" i="2"/>
  <c r="T170" i="2" s="1"/>
  <c r="U170" i="2" s="1"/>
  <c r="R170" i="2"/>
  <c r="E170" i="2"/>
  <c r="S169" i="2"/>
  <c r="R169" i="2"/>
  <c r="E169" i="2"/>
  <c r="S168" i="2"/>
  <c r="R168" i="2"/>
  <c r="E168" i="2"/>
  <c r="S167" i="2"/>
  <c r="R167" i="2"/>
  <c r="E167" i="2"/>
  <c r="S166" i="2"/>
  <c r="R166" i="2"/>
  <c r="E166" i="2"/>
  <c r="S165" i="2"/>
  <c r="R165" i="2"/>
  <c r="T165" i="2" s="1"/>
  <c r="U165" i="2" s="1"/>
  <c r="E165" i="2"/>
  <c r="S164" i="2"/>
  <c r="R164" i="2"/>
  <c r="E164" i="2"/>
  <c r="S163" i="2"/>
  <c r="R163" i="2"/>
  <c r="E163" i="2"/>
  <c r="S162" i="2"/>
  <c r="T162" i="2" s="1"/>
  <c r="U162" i="2" s="1"/>
  <c r="R162" i="2"/>
  <c r="E162" i="2"/>
  <c r="S161" i="2"/>
  <c r="T161" i="2" s="1"/>
  <c r="U161" i="2" s="1"/>
  <c r="R161" i="2"/>
  <c r="E161" i="2"/>
  <c r="S160" i="2"/>
  <c r="R160" i="2"/>
  <c r="E160" i="2"/>
  <c r="S159" i="2"/>
  <c r="R159" i="2"/>
  <c r="E159" i="2"/>
  <c r="S158" i="2"/>
  <c r="R158" i="2"/>
  <c r="E158" i="2"/>
  <c r="S157" i="2"/>
  <c r="R157" i="2"/>
  <c r="E157" i="2"/>
  <c r="S156" i="2"/>
  <c r="R156" i="2"/>
  <c r="E156" i="2"/>
  <c r="S155" i="2"/>
  <c r="R155" i="2"/>
  <c r="E155" i="2"/>
  <c r="S154" i="2"/>
  <c r="R154" i="2"/>
  <c r="E154" i="2"/>
  <c r="S153" i="2"/>
  <c r="R153" i="2"/>
  <c r="E153" i="2"/>
  <c r="S152" i="2"/>
  <c r="R152" i="2"/>
  <c r="E152" i="2"/>
  <c r="S151" i="2"/>
  <c r="R151" i="2"/>
  <c r="E151" i="2"/>
  <c r="S150" i="2"/>
  <c r="R150" i="2"/>
  <c r="E150" i="2"/>
  <c r="S149" i="2"/>
  <c r="R149" i="2"/>
  <c r="E149" i="2"/>
  <c r="S148" i="2"/>
  <c r="R148" i="2"/>
  <c r="T148" i="2" s="1"/>
  <c r="U148" i="2" s="1"/>
  <c r="E148" i="2"/>
  <c r="S147" i="2"/>
  <c r="R147" i="2"/>
  <c r="T147" i="2" s="1"/>
  <c r="U147" i="2" s="1"/>
  <c r="E147" i="2"/>
  <c r="S146" i="2"/>
  <c r="R146" i="2"/>
  <c r="E146" i="2"/>
  <c r="S145" i="2"/>
  <c r="R145" i="2"/>
  <c r="E145" i="2"/>
  <c r="S144" i="2"/>
  <c r="R144" i="2"/>
  <c r="E144" i="2"/>
  <c r="S143" i="2"/>
  <c r="R143" i="2"/>
  <c r="E143" i="2"/>
  <c r="S142" i="2"/>
  <c r="R142" i="2"/>
  <c r="E142" i="2"/>
  <c r="S141" i="2"/>
  <c r="R141" i="2"/>
  <c r="E141" i="2"/>
  <c r="S140" i="2"/>
  <c r="R140" i="2"/>
  <c r="E140" i="2"/>
  <c r="S139" i="2"/>
  <c r="R139" i="2"/>
  <c r="T139" i="2" s="1"/>
  <c r="U139" i="2" s="1"/>
  <c r="E139" i="2"/>
  <c r="S138" i="2"/>
  <c r="R138" i="2"/>
  <c r="E138" i="2"/>
  <c r="S137" i="2"/>
  <c r="T137" i="2" s="1"/>
  <c r="U137" i="2" s="1"/>
  <c r="R137" i="2"/>
  <c r="E137" i="2"/>
  <c r="S136" i="2"/>
  <c r="R136" i="2"/>
  <c r="E136" i="2"/>
  <c r="S135" i="2"/>
  <c r="R135" i="2"/>
  <c r="E135" i="2"/>
  <c r="S134" i="2"/>
  <c r="R134" i="2"/>
  <c r="E134" i="2"/>
  <c r="S133" i="2"/>
  <c r="R133" i="2"/>
  <c r="E133" i="2"/>
  <c r="S132" i="2"/>
  <c r="R132" i="2"/>
  <c r="E132" i="2"/>
  <c r="S131" i="2"/>
  <c r="R131" i="2"/>
  <c r="T131" i="2" s="1"/>
  <c r="U131" i="2" s="1"/>
  <c r="E131" i="2"/>
  <c r="S130" i="2"/>
  <c r="R130" i="2"/>
  <c r="E130" i="2"/>
  <c r="S129" i="2"/>
  <c r="R129" i="2"/>
  <c r="E129" i="2"/>
  <c r="S128" i="2"/>
  <c r="R128" i="2"/>
  <c r="T128" i="2" s="1"/>
  <c r="U128" i="2" s="1"/>
  <c r="E128" i="2"/>
  <c r="S127" i="2"/>
  <c r="R127" i="2"/>
  <c r="E127" i="2"/>
  <c r="S126" i="2"/>
  <c r="R126" i="2"/>
  <c r="E126" i="2"/>
  <c r="S125" i="2"/>
  <c r="R125" i="2"/>
  <c r="E125" i="2"/>
  <c r="S124" i="2"/>
  <c r="R124" i="2"/>
  <c r="E124" i="2"/>
  <c r="S123" i="2"/>
  <c r="R123" i="2"/>
  <c r="E123" i="2"/>
  <c r="S122" i="2"/>
  <c r="R122" i="2"/>
  <c r="E122" i="2"/>
  <c r="S121" i="2"/>
  <c r="R121" i="2"/>
  <c r="E121" i="2"/>
  <c r="S120" i="2"/>
  <c r="R120" i="2"/>
  <c r="E120" i="2"/>
  <c r="S119" i="2"/>
  <c r="R119" i="2"/>
  <c r="E119" i="2"/>
  <c r="S118" i="2"/>
  <c r="R118" i="2"/>
  <c r="E118" i="2"/>
  <c r="S117" i="2"/>
  <c r="R117" i="2"/>
  <c r="E117" i="2"/>
  <c r="S116" i="2"/>
  <c r="R116" i="2"/>
  <c r="E116" i="2"/>
  <c r="S115" i="2"/>
  <c r="R115" i="2"/>
  <c r="E115" i="2"/>
  <c r="S114" i="2"/>
  <c r="R114" i="2"/>
  <c r="E114" i="2"/>
  <c r="S113" i="2"/>
  <c r="R113" i="2"/>
  <c r="E113" i="2"/>
  <c r="S112" i="2"/>
  <c r="R112" i="2"/>
  <c r="E112" i="2"/>
  <c r="S111" i="2"/>
  <c r="R111" i="2"/>
  <c r="E111" i="2"/>
  <c r="S110" i="2"/>
  <c r="R110" i="2"/>
  <c r="E110" i="2"/>
  <c r="S109" i="2"/>
  <c r="R109" i="2"/>
  <c r="E109" i="2"/>
  <c r="S108" i="2"/>
  <c r="R108" i="2"/>
  <c r="E108" i="2"/>
  <c r="S107" i="2"/>
  <c r="R107" i="2"/>
  <c r="T107" i="2" s="1"/>
  <c r="U107" i="2" s="1"/>
  <c r="E107" i="2"/>
  <c r="S106" i="2"/>
  <c r="R106" i="2"/>
  <c r="E106" i="2"/>
  <c r="S105" i="2"/>
  <c r="R105" i="2"/>
  <c r="E105" i="2"/>
  <c r="S104" i="2"/>
  <c r="R104" i="2"/>
  <c r="E104" i="2"/>
  <c r="S103" i="2"/>
  <c r="R103" i="2"/>
  <c r="T103" i="2" s="1"/>
  <c r="U103" i="2" s="1"/>
  <c r="E103" i="2"/>
  <c r="S102" i="2"/>
  <c r="R102" i="2"/>
  <c r="E102" i="2"/>
  <c r="S101" i="2"/>
  <c r="R101" i="2"/>
  <c r="E101" i="2"/>
  <c r="S100" i="2"/>
  <c r="R100" i="2"/>
  <c r="T100" i="2" s="1"/>
  <c r="U100" i="2" s="1"/>
  <c r="E100" i="2"/>
  <c r="S99" i="2"/>
  <c r="R99" i="2"/>
  <c r="E99" i="2"/>
  <c r="S98" i="2"/>
  <c r="R98" i="2"/>
  <c r="E98" i="2"/>
  <c r="S97" i="2"/>
  <c r="T97" i="2" s="1"/>
  <c r="U97" i="2" s="1"/>
  <c r="R97" i="2"/>
  <c r="E97" i="2"/>
  <c r="S96" i="2"/>
  <c r="R96" i="2"/>
  <c r="E96" i="2"/>
  <c r="S95" i="2"/>
  <c r="R95" i="2"/>
  <c r="T95" i="2" s="1"/>
  <c r="U95" i="2" s="1"/>
  <c r="E95" i="2"/>
  <c r="S94" i="2"/>
  <c r="R94" i="2"/>
  <c r="E94" i="2"/>
  <c r="S93" i="2"/>
  <c r="R93" i="2"/>
  <c r="T93" i="2" s="1"/>
  <c r="U93" i="2" s="1"/>
  <c r="E93" i="2"/>
  <c r="S92" i="2"/>
  <c r="R92" i="2"/>
  <c r="E92" i="2"/>
  <c r="S91" i="2"/>
  <c r="T91" i="2" s="1"/>
  <c r="U91" i="2" s="1"/>
  <c r="R91" i="2"/>
  <c r="E91" i="2"/>
  <c r="S90" i="2"/>
  <c r="R90" i="2"/>
  <c r="E90" i="2"/>
  <c r="S89" i="2"/>
  <c r="R89" i="2"/>
  <c r="E89" i="2"/>
  <c r="S88" i="2"/>
  <c r="R88" i="2"/>
  <c r="E88" i="2"/>
  <c r="S87" i="2"/>
  <c r="R87" i="2"/>
  <c r="E87" i="2"/>
  <c r="S86" i="2"/>
  <c r="R86" i="2"/>
  <c r="E86" i="2"/>
  <c r="S85" i="2"/>
  <c r="R85" i="2"/>
  <c r="T85" i="2" s="1"/>
  <c r="U85" i="2" s="1"/>
  <c r="E85" i="2"/>
  <c r="S84" i="2"/>
  <c r="R84" i="2"/>
  <c r="E84" i="2"/>
  <c r="T83" i="2"/>
  <c r="U83" i="2" s="1"/>
  <c r="S83" i="2"/>
  <c r="R83" i="2"/>
  <c r="E83" i="2"/>
  <c r="S82" i="2"/>
  <c r="R82" i="2"/>
  <c r="E82" i="2"/>
  <c r="S81" i="2"/>
  <c r="R81" i="2"/>
  <c r="E81" i="2"/>
  <c r="S80" i="2"/>
  <c r="R80" i="2"/>
  <c r="T80" i="2" s="1"/>
  <c r="U80" i="2" s="1"/>
  <c r="E80" i="2"/>
  <c r="S79" i="2"/>
  <c r="R79" i="2"/>
  <c r="E79" i="2"/>
  <c r="S78" i="2"/>
  <c r="R78" i="2"/>
  <c r="E78" i="2"/>
  <c r="S77" i="2"/>
  <c r="R77" i="2"/>
  <c r="E77" i="2"/>
  <c r="S76" i="2"/>
  <c r="R76" i="2"/>
  <c r="E76" i="2"/>
  <c r="S75" i="2"/>
  <c r="R75" i="2"/>
  <c r="E75" i="2"/>
  <c r="S74" i="2"/>
  <c r="R74" i="2"/>
  <c r="E74" i="2"/>
  <c r="S73" i="2"/>
  <c r="R73" i="2"/>
  <c r="E73" i="2"/>
  <c r="S72" i="2"/>
  <c r="R72" i="2"/>
  <c r="E72" i="2"/>
  <c r="S71" i="2"/>
  <c r="R71" i="2"/>
  <c r="E71" i="2"/>
  <c r="S70" i="2"/>
  <c r="R70" i="2"/>
  <c r="E70" i="2"/>
  <c r="S69" i="2"/>
  <c r="R69" i="2"/>
  <c r="E69" i="2"/>
  <c r="S68" i="2"/>
  <c r="R68" i="2"/>
  <c r="E68" i="2"/>
  <c r="S67" i="2"/>
  <c r="R67" i="2"/>
  <c r="E67" i="2"/>
  <c r="S66" i="2"/>
  <c r="R66" i="2"/>
  <c r="E66" i="2"/>
  <c r="S65" i="2"/>
  <c r="R65" i="2"/>
  <c r="E65" i="2"/>
  <c r="S64" i="2"/>
  <c r="R64" i="2"/>
  <c r="T64" i="2" s="1"/>
  <c r="U64" i="2" s="1"/>
  <c r="E64" i="2"/>
  <c r="S63" i="2"/>
  <c r="R63" i="2"/>
  <c r="E63" i="2"/>
  <c r="S62" i="2"/>
  <c r="R62" i="2"/>
  <c r="E62" i="2"/>
  <c r="S61" i="2"/>
  <c r="R61" i="2"/>
  <c r="E61" i="2"/>
  <c r="S60" i="2"/>
  <c r="R60" i="2"/>
  <c r="E60" i="2"/>
  <c r="S59" i="2"/>
  <c r="R59" i="2"/>
  <c r="E59" i="2"/>
  <c r="S58" i="2"/>
  <c r="R58" i="2"/>
  <c r="E58" i="2"/>
  <c r="S57" i="2"/>
  <c r="R57" i="2"/>
  <c r="E57" i="2"/>
  <c r="S56" i="2"/>
  <c r="R56" i="2"/>
  <c r="E56" i="2"/>
  <c r="S55" i="2"/>
  <c r="R55" i="2"/>
  <c r="E55" i="2"/>
  <c r="S54" i="2"/>
  <c r="R54" i="2"/>
  <c r="E54" i="2"/>
  <c r="S53" i="2"/>
  <c r="R53" i="2"/>
  <c r="E53" i="2"/>
  <c r="S52" i="2"/>
  <c r="R52" i="2"/>
  <c r="E52" i="2"/>
  <c r="S51" i="2"/>
  <c r="R51" i="2"/>
  <c r="E51" i="2"/>
  <c r="S50" i="2"/>
  <c r="R50" i="2"/>
  <c r="E50" i="2"/>
  <c r="S49" i="2"/>
  <c r="R49" i="2"/>
  <c r="T49" i="2" s="1"/>
  <c r="U49" i="2" s="1"/>
  <c r="E49" i="2"/>
  <c r="S48" i="2"/>
  <c r="R48" i="2"/>
  <c r="E48" i="2"/>
  <c r="S47" i="2"/>
  <c r="R47" i="2"/>
  <c r="E47" i="2"/>
  <c r="S46" i="2"/>
  <c r="R46" i="2"/>
  <c r="E46" i="2"/>
  <c r="S45" i="2"/>
  <c r="R45" i="2"/>
  <c r="E45" i="2"/>
  <c r="S44" i="2"/>
  <c r="R44" i="2"/>
  <c r="E44" i="2"/>
  <c r="S43" i="2"/>
  <c r="R43" i="2"/>
  <c r="E43" i="2"/>
  <c r="S42" i="2"/>
  <c r="R42" i="2"/>
  <c r="E42" i="2"/>
  <c r="S41" i="2"/>
  <c r="R41" i="2"/>
  <c r="E41" i="2"/>
  <c r="S40" i="2"/>
  <c r="R40" i="2"/>
  <c r="E40" i="2"/>
  <c r="S39" i="2"/>
  <c r="R39" i="2"/>
  <c r="E39" i="2"/>
  <c r="S38" i="2"/>
  <c r="R38" i="2"/>
  <c r="E38" i="2"/>
  <c r="S37" i="2"/>
  <c r="R37" i="2"/>
  <c r="E37" i="2"/>
  <c r="S36" i="2"/>
  <c r="R36" i="2"/>
  <c r="E36" i="2"/>
  <c r="S35" i="2"/>
  <c r="R35" i="2"/>
  <c r="E35" i="2"/>
  <c r="S34" i="2"/>
  <c r="R34" i="2"/>
  <c r="E34" i="2"/>
  <c r="S33" i="2"/>
  <c r="R33" i="2"/>
  <c r="E33" i="2"/>
  <c r="S32" i="2"/>
  <c r="R32" i="2"/>
  <c r="E32" i="2"/>
  <c r="S31" i="2"/>
  <c r="R31" i="2"/>
  <c r="E31" i="2"/>
  <c r="S30" i="2"/>
  <c r="R30" i="2"/>
  <c r="E30" i="2"/>
  <c r="S29" i="2"/>
  <c r="R29" i="2"/>
  <c r="E29" i="2"/>
  <c r="S28" i="2"/>
  <c r="R28" i="2"/>
  <c r="E28" i="2"/>
  <c r="S27" i="2"/>
  <c r="R27" i="2"/>
  <c r="E27" i="2"/>
  <c r="S26" i="2"/>
  <c r="R26" i="2"/>
  <c r="E26" i="2"/>
  <c r="S25" i="2"/>
  <c r="R25" i="2"/>
  <c r="E25" i="2"/>
  <c r="S24" i="2"/>
  <c r="R24" i="2"/>
  <c r="E24" i="2"/>
  <c r="S23" i="2"/>
  <c r="R23" i="2"/>
  <c r="E23" i="2"/>
  <c r="S22" i="2"/>
  <c r="R22" i="2"/>
  <c r="E22" i="2"/>
  <c r="S21" i="2"/>
  <c r="R21" i="2"/>
  <c r="E21" i="2"/>
  <c r="S20" i="2"/>
  <c r="R20" i="2"/>
  <c r="E20" i="2"/>
  <c r="S19" i="2"/>
  <c r="R19" i="2"/>
  <c r="E19" i="2"/>
  <c r="S18" i="2"/>
  <c r="R18" i="2"/>
  <c r="E18" i="2"/>
  <c r="S17" i="2"/>
  <c r="R17" i="2"/>
  <c r="E17" i="2"/>
  <c r="S16" i="2"/>
  <c r="R16" i="2"/>
  <c r="E16" i="2"/>
  <c r="S15" i="2"/>
  <c r="R15" i="2"/>
  <c r="E15" i="2"/>
  <c r="S14" i="2"/>
  <c r="R14" i="2"/>
  <c r="E14" i="2"/>
  <c r="S13" i="2"/>
  <c r="R13" i="2"/>
  <c r="E13" i="2"/>
  <c r="S12" i="2"/>
  <c r="R12" i="2"/>
  <c r="E12" i="2"/>
  <c r="S11" i="2"/>
  <c r="R11" i="2"/>
  <c r="E11" i="2"/>
  <c r="S10" i="2"/>
  <c r="R10" i="2"/>
  <c r="E10" i="2"/>
  <c r="S9" i="2"/>
  <c r="R9" i="2"/>
  <c r="E9" i="2"/>
  <c r="S8" i="2"/>
  <c r="R8" i="2"/>
  <c r="E8" i="2"/>
  <c r="S7" i="2"/>
  <c r="R7" i="2"/>
  <c r="E7" i="2"/>
  <c r="S6" i="2"/>
  <c r="R6" i="2"/>
  <c r="E6" i="2"/>
  <c r="S5" i="2"/>
  <c r="R5" i="2"/>
  <c r="E5" i="2"/>
  <c r="S4" i="2"/>
  <c r="R4" i="2"/>
  <c r="E4" i="2"/>
  <c r="S3" i="2"/>
  <c r="R3" i="2"/>
  <c r="E3" i="2"/>
  <c r="S2" i="2"/>
  <c r="R2" i="2"/>
  <c r="E2" i="2"/>
  <c r="T51" i="2" l="1"/>
  <c r="U51" i="2" s="1"/>
  <c r="T59" i="2"/>
  <c r="U59" i="2" s="1"/>
  <c r="T67" i="2"/>
  <c r="U67" i="2" s="1"/>
  <c r="T75" i="2"/>
  <c r="U75" i="2" s="1"/>
  <c r="T109" i="2"/>
  <c r="U109" i="2" s="1"/>
  <c r="T122" i="2"/>
  <c r="U122" i="2" s="1"/>
  <c r="T125" i="2"/>
  <c r="U125" i="2" s="1"/>
  <c r="T146" i="2"/>
  <c r="U146" i="2" s="1"/>
  <c r="T205" i="2"/>
  <c r="U205" i="2" s="1"/>
  <c r="T81" i="2"/>
  <c r="U81" i="2" s="1"/>
  <c r="T171" i="2"/>
  <c r="U171" i="2" s="1"/>
  <c r="T179" i="2"/>
  <c r="U179" i="2" s="1"/>
  <c r="T187" i="2"/>
  <c r="U187" i="2" s="1"/>
  <c r="T203" i="2"/>
  <c r="U203" i="2" s="1"/>
  <c r="T63" i="2"/>
  <c r="U63" i="2" s="1"/>
  <c r="T121" i="2"/>
  <c r="U121" i="2" s="1"/>
  <c r="T13" i="2"/>
  <c r="U13" i="2" s="1"/>
  <c r="T21" i="2"/>
  <c r="U21" i="2" s="1"/>
  <c r="T29" i="2"/>
  <c r="U29" i="2" s="1"/>
  <c r="T37" i="2"/>
  <c r="U37" i="2" s="1"/>
  <c r="T45" i="2"/>
  <c r="U45" i="2" s="1"/>
  <c r="T58" i="2"/>
  <c r="U58" i="2" s="1"/>
  <c r="T66" i="2"/>
  <c r="U66" i="2" s="1"/>
  <c r="T119" i="2"/>
  <c r="U119" i="2" s="1"/>
  <c r="T135" i="2"/>
  <c r="U135" i="2" s="1"/>
  <c r="T143" i="2"/>
  <c r="U143" i="2" s="1"/>
  <c r="T164" i="2"/>
  <c r="U164" i="2" s="1"/>
  <c r="T169" i="2"/>
  <c r="U169" i="2" s="1"/>
  <c r="T225" i="2"/>
  <c r="U225" i="2" s="1"/>
  <c r="T82" i="2"/>
  <c r="U82" i="2" s="1"/>
  <c r="T113" i="2"/>
  <c r="U113" i="2" s="1"/>
  <c r="T129" i="2"/>
  <c r="U129" i="2" s="1"/>
  <c r="T155" i="2"/>
  <c r="U155" i="2" s="1"/>
  <c r="T173" i="2"/>
  <c r="U173" i="2" s="1"/>
  <c r="T186" i="2"/>
  <c r="U186" i="2" s="1"/>
  <c r="T197" i="2"/>
  <c r="U197" i="2" s="1"/>
  <c r="T239" i="2"/>
  <c r="U239" i="2" s="1"/>
  <c r="T145" i="2"/>
  <c r="U145" i="2" s="1"/>
  <c r="T163" i="2"/>
  <c r="U163" i="2" s="1"/>
  <c r="T213" i="2"/>
  <c r="U213" i="2" s="1"/>
  <c r="T65" i="2"/>
  <c r="U65" i="2" s="1"/>
  <c r="T98" i="2"/>
  <c r="U98" i="2" s="1"/>
  <c r="T106" i="2"/>
  <c r="U106" i="2" s="1"/>
  <c r="T211" i="2"/>
  <c r="U211" i="2" s="1"/>
  <c r="T227" i="2"/>
  <c r="U227" i="2" s="1"/>
  <c r="T240" i="2"/>
  <c r="U240" i="2" s="1"/>
  <c r="T57" i="2"/>
  <c r="T235" i="2"/>
  <c r="U235" i="2" s="1"/>
  <c r="T55" i="2"/>
  <c r="U55" i="2" s="1"/>
  <c r="T99" i="2"/>
  <c r="U99" i="2" s="1"/>
  <c r="T133" i="2"/>
  <c r="U133" i="2" s="1"/>
  <c r="T180" i="2"/>
  <c r="U180" i="2" s="1"/>
  <c r="T185" i="2"/>
  <c r="U185" i="2" s="1"/>
  <c r="T214" i="2"/>
  <c r="U214" i="2" s="1"/>
  <c r="T115" i="2"/>
  <c r="U115" i="2" s="1"/>
  <c r="T123" i="2"/>
  <c r="U123" i="2" s="1"/>
  <c r="T149" i="2"/>
  <c r="U149" i="2" s="1"/>
  <c r="T154" i="2"/>
  <c r="U154" i="2" s="1"/>
  <c r="T183" i="2"/>
  <c r="U183" i="2" s="1"/>
  <c r="T238" i="2"/>
  <c r="U238" i="2" s="1"/>
  <c r="T12" i="2"/>
  <c r="U12" i="2" s="1"/>
  <c r="T20" i="2"/>
  <c r="U20" i="2" s="1"/>
  <c r="T69" i="2"/>
  <c r="U69" i="2" s="1"/>
  <c r="T74" i="2"/>
  <c r="U74" i="2" s="1"/>
  <c r="T79" i="2"/>
  <c r="U79" i="2" s="1"/>
  <c r="T84" i="2"/>
  <c r="U84" i="2" s="1"/>
  <c r="T89" i="2"/>
  <c r="U89" i="2" s="1"/>
  <c r="T112" i="2"/>
  <c r="U112" i="2" s="1"/>
  <c r="T114" i="2"/>
  <c r="U114" i="2" s="1"/>
  <c r="T127" i="2"/>
  <c r="U127" i="2" s="1"/>
  <c r="T157" i="2"/>
  <c r="U157" i="2" s="1"/>
  <c r="T167" i="2"/>
  <c r="U167" i="2" s="1"/>
  <c r="T202" i="2"/>
  <c r="U202" i="2" s="1"/>
  <c r="T47" i="2"/>
  <c r="U47" i="2" s="1"/>
  <c r="T77" i="2"/>
  <c r="U77" i="2" s="1"/>
  <c r="T87" i="2"/>
  <c r="U87" i="2" s="1"/>
  <c r="T117" i="2"/>
  <c r="U117" i="2" s="1"/>
  <c r="T132" i="2"/>
  <c r="U132" i="2" s="1"/>
  <c r="T160" i="2"/>
  <c r="U160" i="2" s="1"/>
  <c r="T175" i="2"/>
  <c r="U175" i="2" s="1"/>
  <c r="T195" i="2"/>
  <c r="U195" i="2" s="1"/>
  <c r="T226" i="2"/>
  <c r="U226" i="2" s="1"/>
  <c r="T216" i="2"/>
  <c r="U216" i="2" s="1"/>
  <c r="T90" i="2"/>
  <c r="U90" i="2" s="1"/>
  <c r="T105" i="2"/>
  <c r="U105" i="2" s="1"/>
  <c r="T130" i="2"/>
  <c r="U130" i="2" s="1"/>
  <c r="T198" i="2"/>
  <c r="U198" i="2" s="1"/>
  <c r="T237" i="2"/>
  <c r="U237" i="2" s="1"/>
  <c r="T48" i="2"/>
  <c r="U48" i="2" s="1"/>
  <c r="T50" i="2"/>
  <c r="U50" i="2" s="1"/>
  <c r="T138" i="2"/>
  <c r="U138" i="2" s="1"/>
  <c r="T153" i="2"/>
  <c r="U153" i="2" s="1"/>
  <c r="T176" i="2"/>
  <c r="U176" i="2" s="1"/>
  <c r="T178" i="2"/>
  <c r="U178" i="2" s="1"/>
  <c r="T11" i="2"/>
  <c r="U11" i="2" s="1"/>
  <c r="T19" i="2"/>
  <c r="U19" i="2" s="1"/>
  <c r="T27" i="2"/>
  <c r="U27" i="2" s="1"/>
  <c r="T35" i="2"/>
  <c r="U35" i="2" s="1"/>
  <c r="T43" i="2"/>
  <c r="U43" i="2" s="1"/>
  <c r="T53" i="2"/>
  <c r="U53" i="2" s="1"/>
  <c r="T68" i="2"/>
  <c r="U68" i="2" s="1"/>
  <c r="T73" i="2"/>
  <c r="U73" i="2" s="1"/>
  <c r="T96" i="2"/>
  <c r="U96" i="2" s="1"/>
  <c r="T111" i="2"/>
  <c r="U111" i="2" s="1"/>
  <c r="T141" i="2"/>
  <c r="U141" i="2" s="1"/>
  <c r="T151" i="2"/>
  <c r="U151" i="2" s="1"/>
  <c r="T181" i="2"/>
  <c r="U181" i="2" s="1"/>
  <c r="T204" i="2"/>
  <c r="U204" i="2" s="1"/>
  <c r="T206" i="2"/>
  <c r="U206" i="2" s="1"/>
  <c r="T209" i="2"/>
  <c r="U209" i="2" s="1"/>
  <c r="T217" i="2"/>
  <c r="U217" i="2" s="1"/>
  <c r="T61" i="2"/>
  <c r="U61" i="2" s="1"/>
  <c r="T71" i="2"/>
  <c r="U71" i="2" s="1"/>
  <c r="T101" i="2"/>
  <c r="U101" i="2" s="1"/>
  <c r="T116" i="2"/>
  <c r="U116" i="2" s="1"/>
  <c r="T144" i="2"/>
  <c r="U144" i="2" s="1"/>
  <c r="T159" i="2"/>
  <c r="U159" i="2" s="1"/>
  <c r="T189" i="2"/>
  <c r="U189" i="2" s="1"/>
  <c r="T220" i="2"/>
  <c r="U220" i="2" s="1"/>
  <c r="T228" i="2"/>
  <c r="U228" i="2" s="1"/>
  <c r="T28" i="2"/>
  <c r="U28" i="2" s="1"/>
  <c r="T36" i="2"/>
  <c r="U36" i="2" s="1"/>
  <c r="T44" i="2"/>
  <c r="U44" i="2" s="1"/>
  <c r="T212" i="2"/>
  <c r="U212" i="2" s="1"/>
  <c r="T219" i="2"/>
  <c r="U219" i="2" s="1"/>
  <c r="T224" i="2"/>
  <c r="U224" i="2" s="1"/>
  <c r="T23" i="2"/>
  <c r="U23" i="2" s="1"/>
  <c r="T31" i="2"/>
  <c r="U31" i="2" s="1"/>
  <c r="T39" i="2"/>
  <c r="U39" i="2" s="1"/>
  <c r="T56" i="2"/>
  <c r="U56" i="2" s="1"/>
  <c r="T72" i="2"/>
  <c r="U72" i="2" s="1"/>
  <c r="T88" i="2"/>
  <c r="U88" i="2" s="1"/>
  <c r="T104" i="2"/>
  <c r="U104" i="2" s="1"/>
  <c r="T120" i="2"/>
  <c r="U120" i="2" s="1"/>
  <c r="T136" i="2"/>
  <c r="U136" i="2" s="1"/>
  <c r="T152" i="2"/>
  <c r="U152" i="2" s="1"/>
  <c r="T168" i="2"/>
  <c r="U168" i="2" s="1"/>
  <c r="T184" i="2"/>
  <c r="U184" i="2" s="1"/>
  <c r="T191" i="2"/>
  <c r="U191" i="2" s="1"/>
  <c r="T196" i="2"/>
  <c r="U196" i="2" s="1"/>
  <c r="T231" i="2"/>
  <c r="U231" i="2" s="1"/>
  <c r="T236" i="2"/>
  <c r="U236" i="2" s="1"/>
  <c r="T34" i="2"/>
  <c r="U34" i="2" s="1"/>
  <c r="T42" i="2"/>
  <c r="U42" i="2" s="1"/>
  <c r="T70" i="2"/>
  <c r="U70" i="2" s="1"/>
  <c r="T86" i="2"/>
  <c r="U86" i="2" s="1"/>
  <c r="T102" i="2"/>
  <c r="U102" i="2" s="1"/>
  <c r="T118" i="2"/>
  <c r="U118" i="2" s="1"/>
  <c r="T134" i="2"/>
  <c r="U134" i="2" s="1"/>
  <c r="T150" i="2"/>
  <c r="U150" i="2" s="1"/>
  <c r="T166" i="2"/>
  <c r="U166" i="2" s="1"/>
  <c r="T182" i="2"/>
  <c r="U182" i="2" s="1"/>
  <c r="T210" i="2"/>
  <c r="U210" i="2" s="1"/>
  <c r="T222" i="2"/>
  <c r="U222" i="2" s="1"/>
  <c r="T2" i="2"/>
  <c r="U2" i="2" s="1"/>
  <c r="T10" i="2"/>
  <c r="U10" i="2" s="1"/>
  <c r="T18" i="2"/>
  <c r="U18" i="2" s="1"/>
  <c r="T26" i="2"/>
  <c r="U26" i="2" s="1"/>
  <c r="T54" i="2"/>
  <c r="U54" i="2" s="1"/>
  <c r="T16" i="2"/>
  <c r="U16" i="2" s="1"/>
  <c r="T24" i="2"/>
  <c r="U24" i="2" s="1"/>
  <c r="T32" i="2"/>
  <c r="U32" i="2" s="1"/>
  <c r="T40" i="2"/>
  <c r="U40" i="2" s="1"/>
  <c r="T194" i="2"/>
  <c r="U194" i="2" s="1"/>
  <c r="T199" i="2"/>
  <c r="U199" i="2" s="1"/>
  <c r="T232" i="2"/>
  <c r="U232" i="2" s="1"/>
  <c r="T234" i="2"/>
  <c r="U234" i="2" s="1"/>
  <c r="T218" i="2"/>
  <c r="U218" i="2" s="1"/>
  <c r="T6" i="2"/>
  <c r="T9" i="2"/>
  <c r="U9" i="2" s="1"/>
  <c r="T14" i="2"/>
  <c r="U14" i="2" s="1"/>
  <c r="T17" i="2"/>
  <c r="U17" i="2" s="1"/>
  <c r="T22" i="2"/>
  <c r="U22" i="2" s="1"/>
  <c r="T25" i="2"/>
  <c r="U25" i="2" s="1"/>
  <c r="T30" i="2"/>
  <c r="U30" i="2" s="1"/>
  <c r="T33" i="2"/>
  <c r="U33" i="2" s="1"/>
  <c r="T38" i="2"/>
  <c r="U38" i="2" s="1"/>
  <c r="T41" i="2"/>
  <c r="U41" i="2" s="1"/>
  <c r="T46" i="2"/>
  <c r="U46" i="2" s="1"/>
  <c r="T60" i="2"/>
  <c r="U60" i="2" s="1"/>
  <c r="T62" i="2"/>
  <c r="U62" i="2" s="1"/>
  <c r="T76" i="2"/>
  <c r="U76" i="2" s="1"/>
  <c r="T78" i="2"/>
  <c r="U78" i="2" s="1"/>
  <c r="T92" i="2"/>
  <c r="U92" i="2" s="1"/>
  <c r="T94" i="2"/>
  <c r="U94" i="2" s="1"/>
  <c r="T108" i="2"/>
  <c r="U108" i="2" s="1"/>
  <c r="T110" i="2"/>
  <c r="U110" i="2" s="1"/>
  <c r="T124" i="2"/>
  <c r="U124" i="2" s="1"/>
  <c r="T126" i="2"/>
  <c r="U126" i="2" s="1"/>
  <c r="T140" i="2"/>
  <c r="U140" i="2" s="1"/>
  <c r="T142" i="2"/>
  <c r="U142" i="2" s="1"/>
  <c r="T156" i="2"/>
  <c r="U156" i="2" s="1"/>
  <c r="T158" i="2"/>
  <c r="U158" i="2" s="1"/>
  <c r="T172" i="2"/>
  <c r="U172" i="2" s="1"/>
  <c r="T174" i="2"/>
  <c r="U174" i="2" s="1"/>
  <c r="T188" i="2"/>
  <c r="U188" i="2" s="1"/>
  <c r="T190" i="2"/>
  <c r="U190" i="2" s="1"/>
  <c r="T200" i="2"/>
  <c r="U200" i="2" s="1"/>
  <c r="T207" i="2"/>
  <c r="U207" i="2" s="1"/>
  <c r="T230" i="2"/>
  <c r="U230" i="2" s="1"/>
  <c r="U6" i="2"/>
  <c r="T3" i="2"/>
  <c r="T5" i="2"/>
  <c r="T7" i="2"/>
  <c r="T15" i="2"/>
  <c r="U57" i="2"/>
  <c r="T192" i="2"/>
  <c r="U192" i="2" s="1"/>
  <c r="T4" i="2"/>
  <c r="T52" i="2"/>
  <c r="T8" i="2"/>
  <c r="U8" i="2" l="1"/>
  <c r="U15" i="2"/>
  <c r="U52" i="2"/>
  <c r="U7" i="2"/>
  <c r="U4" i="2"/>
  <c r="U5" i="2"/>
  <c r="U3" i="2"/>
</calcChain>
</file>

<file path=xl/sharedStrings.xml><?xml version="1.0" encoding="utf-8"?>
<sst xmlns="http://schemas.openxmlformats.org/spreadsheetml/2006/main" count="2515" uniqueCount="461">
  <si>
    <t>Beginner Business Dashboard Dataset</t>
  </si>
  <si>
    <t>What this file contains</t>
  </si>
  <si>
    <t>1. Sales_Data: 240 synthetic sales orders for dashboard practice.</t>
  </si>
  <si>
    <t>2. Dashboard_Starter: Ready-made formulas and charts you can copy or modify.</t>
  </si>
  <si>
    <t>3. Dashboard_Questions: Beginner-friendly dashboard questions and chart ideas.</t>
  </si>
  <si>
    <t>4. Data_Dictionary: Simple explanation of every column.</t>
  </si>
  <si>
    <t>How to use this workbook</t>
  </si>
  <si>
    <t>Step 1: Open Sales_Data and review the columns.</t>
  </si>
  <si>
    <t>Step 2: Insert PivotTables from Sales_Data to answer the dashboard questions.</t>
  </si>
  <si>
    <t>Step 3: Use slicers for Region, Category, Sales_Channel, and Customer_Segment.</t>
  </si>
  <si>
    <t>Step 4: Build KPI cards for Revenue, Profit, Orders, and Profit Margin.</t>
  </si>
  <si>
    <t>Important note</t>
  </si>
  <si>
    <t>This is a synthetic dataset created for learning. It does not represent real company data.</t>
  </si>
  <si>
    <t>Order_ID</t>
  </si>
  <si>
    <t>Order_Date</t>
  </si>
  <si>
    <t>Month</t>
  </si>
  <si>
    <t>Customer_Segment</t>
  </si>
  <si>
    <t>Region</t>
  </si>
  <si>
    <t>City</t>
  </si>
  <si>
    <t>Category</t>
  </si>
  <si>
    <t>Product</t>
  </si>
  <si>
    <t>Sales_Channel</t>
  </si>
  <si>
    <t>Payment_Method</t>
  </si>
  <si>
    <t>Sales_Rep</t>
  </si>
  <si>
    <t>Units_Sold</t>
  </si>
  <si>
    <t>Unit_Price</t>
  </si>
  <si>
    <t>Discount_Pct</t>
  </si>
  <si>
    <t>Unit_Cost</t>
  </si>
  <si>
    <t>Revenue</t>
  </si>
  <si>
    <t>Total_Cost</t>
  </si>
  <si>
    <t>Profit</t>
  </si>
  <si>
    <t>Profit_Margin</t>
  </si>
  <si>
    <t>Delivery_Days</t>
  </si>
  <si>
    <t>Customer_Rating</t>
  </si>
  <si>
    <t>ORD-2025-0001</t>
  </si>
  <si>
    <t>Corporate</t>
  </si>
  <si>
    <t>North</t>
  </si>
  <si>
    <t>Islamabad</t>
  </si>
  <si>
    <t>Furniture</t>
  </si>
  <si>
    <t>Standing Desk</t>
  </si>
  <si>
    <t>Online</t>
  </si>
  <si>
    <t>Cash</t>
  </si>
  <si>
    <t>Mariam</t>
  </si>
  <si>
    <t>ORD-2025-0002</t>
  </si>
  <si>
    <t>Consumer</t>
  </si>
  <si>
    <t>West</t>
  </si>
  <si>
    <t>Multan</t>
  </si>
  <si>
    <t>Technology</t>
  </si>
  <si>
    <t>USB Drive</t>
  </si>
  <si>
    <t>Distributor</t>
  </si>
  <si>
    <t>Credit Card</t>
  </si>
  <si>
    <t>Omar</t>
  </si>
  <si>
    <t>ORD-2025-0003</t>
  </si>
  <si>
    <t>Rawalpindi</t>
  </si>
  <si>
    <t>Accessories</t>
  </si>
  <si>
    <t>Webcam</t>
  </si>
  <si>
    <t>Hamza</t>
  </si>
  <si>
    <t>ORD-2025-0004</t>
  </si>
  <si>
    <t>Small Business</t>
  </si>
  <si>
    <t>Bookshelf</t>
  </si>
  <si>
    <t>ORD-2025-0005</t>
  </si>
  <si>
    <t>Peshawar</t>
  </si>
  <si>
    <t>ORD-2025-0006</t>
  </si>
  <si>
    <t>East</t>
  </si>
  <si>
    <t>Lahore</t>
  </si>
  <si>
    <t>Office Supplies</t>
  </si>
  <si>
    <t>Desk Organizer</t>
  </si>
  <si>
    <t>Mobile Wallet</t>
  </si>
  <si>
    <t>Bilal</t>
  </si>
  <si>
    <t>ORD-2025-0007</t>
  </si>
  <si>
    <t>Headset</t>
  </si>
  <si>
    <t>Retail Store</t>
  </si>
  <si>
    <t>Ayesha</t>
  </si>
  <si>
    <t>ORD-2025-0008</t>
  </si>
  <si>
    <t>Sukkur</t>
  </si>
  <si>
    <t>Notebook Pack</t>
  </si>
  <si>
    <t>Bank Transfer</t>
  </si>
  <si>
    <t>ORD-2025-0009</t>
  </si>
  <si>
    <t>Keyboard</t>
  </si>
  <si>
    <t>ORD-2025-0010</t>
  </si>
  <si>
    <t>Office Chair</t>
  </si>
  <si>
    <t>ORD-2025-0011</t>
  </si>
  <si>
    <t>South</t>
  </si>
  <si>
    <t>Quetta</t>
  </si>
  <si>
    <t>ORD-2025-0012</t>
  </si>
  <si>
    <t>Fatima</t>
  </si>
  <si>
    <t>ORD-2025-0013</t>
  </si>
  <si>
    <t>Pen Set</t>
  </si>
  <si>
    <t>ORD-2025-0014</t>
  </si>
  <si>
    <t>Karachi</t>
  </si>
  <si>
    <t>ORD-2025-0015</t>
  </si>
  <si>
    <t>ORD-2025-0016</t>
  </si>
  <si>
    <t>Printer Paper</t>
  </si>
  <si>
    <t>ORD-2025-0017</t>
  </si>
  <si>
    <t>ORD-2025-0018</t>
  </si>
  <si>
    <t>ORD-2025-0019</t>
  </si>
  <si>
    <t>Laptop Bag</t>
  </si>
  <si>
    <t>ORD-2025-0020</t>
  </si>
  <si>
    <t>Sialkot</t>
  </si>
  <si>
    <t>ORD-2025-0021</t>
  </si>
  <si>
    <t>ORD-2025-0022</t>
  </si>
  <si>
    <t>ORD-2025-0023</t>
  </si>
  <si>
    <t>ORD-2025-0024</t>
  </si>
  <si>
    <t>Hyderabad</t>
  </si>
  <si>
    <t>ORD-2025-0025</t>
  </si>
  <si>
    <t>Wireless Mouse</t>
  </si>
  <si>
    <t>ORD-2025-0026</t>
  </si>
  <si>
    <t>ORD-2025-0027</t>
  </si>
  <si>
    <t>ORD-2025-0028</t>
  </si>
  <si>
    <t>ORD-2025-0029</t>
  </si>
  <si>
    <t>ORD-2025-0030</t>
  </si>
  <si>
    <t>ORD-2025-0031</t>
  </si>
  <si>
    <t>ORD-2025-0032</t>
  </si>
  <si>
    <t>ORD-2025-0033</t>
  </si>
  <si>
    <t>ORD-2025-0034</t>
  </si>
  <si>
    <t>ORD-2025-0035</t>
  </si>
  <si>
    <t>ORD-2025-0036</t>
  </si>
  <si>
    <t>ORD-2025-0037</t>
  </si>
  <si>
    <t>ORD-2025-0038</t>
  </si>
  <si>
    <t>ORD-2025-0039</t>
  </si>
  <si>
    <t>Bahawalpur</t>
  </si>
  <si>
    <t>ORD-2025-0040</t>
  </si>
  <si>
    <t>ORD-2025-0041</t>
  </si>
  <si>
    <t>ORD-2025-0042</t>
  </si>
  <si>
    <t>Faisalabad</t>
  </si>
  <si>
    <t>ORD-2025-0043</t>
  </si>
  <si>
    <t>ORD-2025-0044</t>
  </si>
  <si>
    <t>ORD-2025-0045</t>
  </si>
  <si>
    <t>ORD-2025-0046</t>
  </si>
  <si>
    <t>ORD-2025-0047</t>
  </si>
  <si>
    <t>Power Bank</t>
  </si>
  <si>
    <t>ORD-2025-0048</t>
  </si>
  <si>
    <t>ORD-2025-0049</t>
  </si>
  <si>
    <t>ORD-2025-0050</t>
  </si>
  <si>
    <t>ORD-2025-0051</t>
  </si>
  <si>
    <t>ORD-2025-0052</t>
  </si>
  <si>
    <t>ORD-2025-0053</t>
  </si>
  <si>
    <t>Laptop Stand</t>
  </si>
  <si>
    <t>ORD-2025-0054</t>
  </si>
  <si>
    <t>ORD-2025-0055</t>
  </si>
  <si>
    <t>ORD-2025-0056</t>
  </si>
  <si>
    <t>ORD-2025-0057</t>
  </si>
  <si>
    <t>ORD-2025-0058</t>
  </si>
  <si>
    <t>ORD-2025-0059</t>
  </si>
  <si>
    <t>ORD-2025-0060</t>
  </si>
  <si>
    <t>ORD-2025-0061</t>
  </si>
  <si>
    <t>ORD-2025-0062</t>
  </si>
  <si>
    <t>ORD-2025-0063</t>
  </si>
  <si>
    <t>ORD-2025-0064</t>
  </si>
  <si>
    <t>ORD-2025-0065</t>
  </si>
  <si>
    <t>ORD-2025-0066</t>
  </si>
  <si>
    <t>ORD-2025-0067</t>
  </si>
  <si>
    <t>ORD-2025-0068</t>
  </si>
  <si>
    <t>ORD-2025-0069</t>
  </si>
  <si>
    <t>ORD-2025-0070</t>
  </si>
  <si>
    <t>ORD-2025-0071</t>
  </si>
  <si>
    <t>ORD-2025-0072</t>
  </si>
  <si>
    <t>ORD-2025-0073</t>
  </si>
  <si>
    <t>ORD-2025-0074</t>
  </si>
  <si>
    <t>ORD-2025-0075</t>
  </si>
  <si>
    <t>ORD-2025-0076</t>
  </si>
  <si>
    <t>ORD-2025-0077</t>
  </si>
  <si>
    <t>ORD-2025-0078</t>
  </si>
  <si>
    <t>ORD-2025-0079</t>
  </si>
  <si>
    <t>ORD-2025-0080</t>
  </si>
  <si>
    <t>ORD-2025-0081</t>
  </si>
  <si>
    <t>ORD-2025-0082</t>
  </si>
  <si>
    <t>ORD-2025-0083</t>
  </si>
  <si>
    <t>ORD-2025-0084</t>
  </si>
  <si>
    <t>ORD-2025-0085</t>
  </si>
  <si>
    <t>ORD-2025-0086</t>
  </si>
  <si>
    <t>ORD-2025-0087</t>
  </si>
  <si>
    <t>ORD-2025-0088</t>
  </si>
  <si>
    <t>ORD-2025-0089</t>
  </si>
  <si>
    <t>ORD-2025-0090</t>
  </si>
  <si>
    <t>ORD-2025-0091</t>
  </si>
  <si>
    <t>ORD-2025-0092</t>
  </si>
  <si>
    <t>ORD-2025-0093</t>
  </si>
  <si>
    <t>ORD-2025-0094</t>
  </si>
  <si>
    <t>ORD-2025-0095</t>
  </si>
  <si>
    <t>ORD-2025-0096</t>
  </si>
  <si>
    <t>ORD-2025-0097</t>
  </si>
  <si>
    <t>ORD-2025-0098</t>
  </si>
  <si>
    <t>ORD-2025-0099</t>
  </si>
  <si>
    <t>ORD-2025-0100</t>
  </si>
  <si>
    <t>ORD-2025-0101</t>
  </si>
  <si>
    <t>Filing Cabinet</t>
  </si>
  <si>
    <t>ORD-2025-0102</t>
  </si>
  <si>
    <t>ORD-2025-0103</t>
  </si>
  <si>
    <t>ORD-2025-0104</t>
  </si>
  <si>
    <t>ORD-2025-0105</t>
  </si>
  <si>
    <t>ORD-2025-0106</t>
  </si>
  <si>
    <t>ORD-2025-0107</t>
  </si>
  <si>
    <t>ORD-2025-0108</t>
  </si>
  <si>
    <t>ORD-2025-0109</t>
  </si>
  <si>
    <t>ORD-2025-0110</t>
  </si>
  <si>
    <t>ORD-2025-0111</t>
  </si>
  <si>
    <t>ORD-2025-0112</t>
  </si>
  <si>
    <t>ORD-2025-0113</t>
  </si>
  <si>
    <t>ORD-2025-0114</t>
  </si>
  <si>
    <t>ORD-2025-0115</t>
  </si>
  <si>
    <t>ORD-2025-0116</t>
  </si>
  <si>
    <t>ORD-2025-0117</t>
  </si>
  <si>
    <t>ORD-2025-0118</t>
  </si>
  <si>
    <t>ORD-2025-0119</t>
  </si>
  <si>
    <t>ORD-2025-0120</t>
  </si>
  <si>
    <t>ORD-2025-0121</t>
  </si>
  <si>
    <t>ORD-2025-0122</t>
  </si>
  <si>
    <t>ORD-2025-0123</t>
  </si>
  <si>
    <t>ORD-2025-0124</t>
  </si>
  <si>
    <t>ORD-2025-0125</t>
  </si>
  <si>
    <t>ORD-2025-0126</t>
  </si>
  <si>
    <t>ORD-2025-0127</t>
  </si>
  <si>
    <t>ORD-2025-0128</t>
  </si>
  <si>
    <t>ORD-2025-0129</t>
  </si>
  <si>
    <t>ORD-2025-0130</t>
  </si>
  <si>
    <t>ORD-2025-0131</t>
  </si>
  <si>
    <t>ORD-2025-0132</t>
  </si>
  <si>
    <t>ORD-2025-0133</t>
  </si>
  <si>
    <t>ORD-2025-0134</t>
  </si>
  <si>
    <t>ORD-2025-0135</t>
  </si>
  <si>
    <t>ORD-2025-0136</t>
  </si>
  <si>
    <t>ORD-2025-0137</t>
  </si>
  <si>
    <t>ORD-2025-0138</t>
  </si>
  <si>
    <t>ORD-2025-0139</t>
  </si>
  <si>
    <t>ORD-2025-0140</t>
  </si>
  <si>
    <t>ORD-2025-0141</t>
  </si>
  <si>
    <t>ORD-2025-0142</t>
  </si>
  <si>
    <t>ORD-2025-0143</t>
  </si>
  <si>
    <t>ORD-2025-0144</t>
  </si>
  <si>
    <t>ORD-2025-0145</t>
  </si>
  <si>
    <t>ORD-2025-0146</t>
  </si>
  <si>
    <t>ORD-2025-0147</t>
  </si>
  <si>
    <t>ORD-2025-0148</t>
  </si>
  <si>
    <t>ORD-2025-0149</t>
  </si>
  <si>
    <t>ORD-2025-0150</t>
  </si>
  <si>
    <t>ORD-2025-0151</t>
  </si>
  <si>
    <t>ORD-2025-0152</t>
  </si>
  <si>
    <t>ORD-2025-0153</t>
  </si>
  <si>
    <t>ORD-2025-0154</t>
  </si>
  <si>
    <t>ORD-2025-0155</t>
  </si>
  <si>
    <t>ORD-2025-0156</t>
  </si>
  <si>
    <t>ORD-2025-0157</t>
  </si>
  <si>
    <t>ORD-2025-0158</t>
  </si>
  <si>
    <t>ORD-2025-0159</t>
  </si>
  <si>
    <t>ORD-2025-0160</t>
  </si>
  <si>
    <t>ORD-2025-0161</t>
  </si>
  <si>
    <t>ORD-2025-0162</t>
  </si>
  <si>
    <t>ORD-2025-0163</t>
  </si>
  <si>
    <t>ORD-2025-0164</t>
  </si>
  <si>
    <t>ORD-2025-0165</t>
  </si>
  <si>
    <t>ORD-2025-0166</t>
  </si>
  <si>
    <t>ORD-2025-0167</t>
  </si>
  <si>
    <t>ORD-2025-0168</t>
  </si>
  <si>
    <t>ORD-2025-0169</t>
  </si>
  <si>
    <t>ORD-2025-0170</t>
  </si>
  <si>
    <t>ORD-2025-0171</t>
  </si>
  <si>
    <t>ORD-2025-0172</t>
  </si>
  <si>
    <t>ORD-2025-0173</t>
  </si>
  <si>
    <t>ORD-2025-0174</t>
  </si>
  <si>
    <t>ORD-2025-0175</t>
  </si>
  <si>
    <t>ORD-2025-0176</t>
  </si>
  <si>
    <t>ORD-2025-0177</t>
  </si>
  <si>
    <t>ORD-2025-0178</t>
  </si>
  <si>
    <t>ORD-2025-0179</t>
  </si>
  <si>
    <t>ORD-2025-0180</t>
  </si>
  <si>
    <t>ORD-2025-0181</t>
  </si>
  <si>
    <t>ORD-2025-0182</t>
  </si>
  <si>
    <t>ORD-2025-0183</t>
  </si>
  <si>
    <t>ORD-2025-0184</t>
  </si>
  <si>
    <t>ORD-2025-0185</t>
  </si>
  <si>
    <t>ORD-2025-0186</t>
  </si>
  <si>
    <t>ORD-2025-0187</t>
  </si>
  <si>
    <t>ORD-2025-0188</t>
  </si>
  <si>
    <t>ORD-2025-0189</t>
  </si>
  <si>
    <t>ORD-2025-0190</t>
  </si>
  <si>
    <t>ORD-2025-0191</t>
  </si>
  <si>
    <t>ORD-2025-0192</t>
  </si>
  <si>
    <t>ORD-2025-0193</t>
  </si>
  <si>
    <t>ORD-2025-0194</t>
  </si>
  <si>
    <t>ORD-2025-0195</t>
  </si>
  <si>
    <t>ORD-2025-0196</t>
  </si>
  <si>
    <t>ORD-2025-0197</t>
  </si>
  <si>
    <t>ORD-2025-0198</t>
  </si>
  <si>
    <t>ORD-2025-0199</t>
  </si>
  <si>
    <t>ORD-2025-0200</t>
  </si>
  <si>
    <t>ORD-2025-0201</t>
  </si>
  <si>
    <t>ORD-2025-0202</t>
  </si>
  <si>
    <t>ORD-2025-0203</t>
  </si>
  <si>
    <t>ORD-2025-0204</t>
  </si>
  <si>
    <t>ORD-2025-0205</t>
  </si>
  <si>
    <t>ORD-2025-0206</t>
  </si>
  <si>
    <t>ORD-2025-0207</t>
  </si>
  <si>
    <t>ORD-2025-0208</t>
  </si>
  <si>
    <t>ORD-2025-0209</t>
  </si>
  <si>
    <t>ORD-2025-0210</t>
  </si>
  <si>
    <t>ORD-2025-0211</t>
  </si>
  <si>
    <t>ORD-2025-0212</t>
  </si>
  <si>
    <t>ORD-2025-0213</t>
  </si>
  <si>
    <t>ORD-2025-0214</t>
  </si>
  <si>
    <t>ORD-2025-0215</t>
  </si>
  <si>
    <t>ORD-2025-0216</t>
  </si>
  <si>
    <t>ORD-2025-0217</t>
  </si>
  <si>
    <t>ORD-2025-0218</t>
  </si>
  <si>
    <t>ORD-2025-0219</t>
  </si>
  <si>
    <t>ORD-2025-0220</t>
  </si>
  <si>
    <t>ORD-2025-0221</t>
  </si>
  <si>
    <t>ORD-2025-0222</t>
  </si>
  <si>
    <t>ORD-2025-0223</t>
  </si>
  <si>
    <t>ORD-2025-0224</t>
  </si>
  <si>
    <t>ORD-2025-0225</t>
  </si>
  <si>
    <t>ORD-2025-0226</t>
  </si>
  <si>
    <t>ORD-2025-0227</t>
  </si>
  <si>
    <t>ORD-2025-0228</t>
  </si>
  <si>
    <t>ORD-2025-0229</t>
  </si>
  <si>
    <t>ORD-2025-0230</t>
  </si>
  <si>
    <t>ORD-2025-0231</t>
  </si>
  <si>
    <t>ORD-2025-0232</t>
  </si>
  <si>
    <t>ORD-2025-0233</t>
  </si>
  <si>
    <t>ORD-2025-0234</t>
  </si>
  <si>
    <t>ORD-2025-0235</t>
  </si>
  <si>
    <t>ORD-2025-0236</t>
  </si>
  <si>
    <t>ORD-2025-0237</t>
  </si>
  <si>
    <t>ORD-2025-0238</t>
  </si>
  <si>
    <t>ORD-2025-0239</t>
  </si>
  <si>
    <t>ORD-2025-0240</t>
  </si>
  <si>
    <t>No.</t>
  </si>
  <si>
    <t>Question</t>
  </si>
  <si>
    <t>Dashboard Element to Use</t>
  </si>
  <si>
    <t>Beginner Hint</t>
  </si>
  <si>
    <t>What is the total revenue for the year?</t>
  </si>
  <si>
    <t>KPI card</t>
  </si>
  <si>
    <t>Use SUM on the Revenue column.</t>
  </si>
  <si>
    <t>What is the total profit for the year?</t>
  </si>
  <si>
    <t>Use SUM on the Profit column.</t>
  </si>
  <si>
    <t>How many orders were placed?</t>
  </si>
  <si>
    <t>Count the Order_ID values.</t>
  </si>
  <si>
    <t>Which month had the highest revenue?</t>
  </si>
  <si>
    <t>Line chart or monthly PivotTable</t>
  </si>
  <si>
    <t>Group Order_Date by month, then sum Revenue.</t>
  </si>
  <si>
    <t>Which product category generated the most revenue?</t>
  </si>
  <si>
    <t>Bar chart</t>
  </si>
  <si>
    <t>Use Category in rows and Revenue in values.</t>
  </si>
  <si>
    <t>Which region generated the most profit?</t>
  </si>
  <si>
    <t>Bar chart or map-style table</t>
  </si>
  <si>
    <t>Use Region in rows and Profit in values.</t>
  </si>
  <si>
    <t>Which sales channel performed best?</t>
  </si>
  <si>
    <t>Donut chart or bar chart</t>
  </si>
  <si>
    <t>Compare Online, Retail Store, and Distributor by Revenue.</t>
  </si>
  <si>
    <t>Which customer segment is most valuable?</t>
  </si>
  <si>
    <t>Compare Consumer, Corporate, and Small Business by Revenue and Profit.</t>
  </si>
  <si>
    <t>What is the average discount percentage?</t>
  </si>
  <si>
    <t>Use AVERAGE on Discount_Pct.</t>
  </si>
  <si>
    <t>Which product has the highest profit?</t>
  </si>
  <si>
    <t>Top 10 table</t>
  </si>
  <si>
    <t>Sort products by total Profit from highest to lowest.</t>
  </si>
  <si>
    <t>Which sales rep closed the most revenue?</t>
  </si>
  <si>
    <t>Leaderboard table</t>
  </si>
  <si>
    <t>Use Sales_Rep in rows and Revenue in values.</t>
  </si>
  <si>
    <t>Do higher discounts reduce profit margin?</t>
  </si>
  <si>
    <t>Scatter chart or comparison table</t>
  </si>
  <si>
    <t>Compare Discount_Pct with Profit_Margin.</t>
  </si>
  <si>
    <t>Which city has the highest number of orders?</t>
  </si>
  <si>
    <t>Column chart</t>
  </si>
  <si>
    <t>Use City in rows and count Order_ID.</t>
  </si>
  <si>
    <t>Which payment method is used most often?</t>
  </si>
  <si>
    <t>Pie chart or bar chart</t>
  </si>
  <si>
    <t>Count Order_ID by Payment_Method.</t>
  </si>
  <si>
    <t>What is the average delivery time?</t>
  </si>
  <si>
    <t>Use AVERAGE on Delivery_Days.</t>
  </si>
  <si>
    <t>Which category has the best average customer rating?</t>
  </si>
  <si>
    <t>Use Category in rows and average Customer_Rating.</t>
  </si>
  <si>
    <t>What are the top 5 products by revenue?</t>
  </si>
  <si>
    <t>Top 5 table</t>
  </si>
  <si>
    <t>Use Product in rows, Revenue in values, then sort descending.</t>
  </si>
  <si>
    <t>How does profit change from month to month?</t>
  </si>
  <si>
    <t>Line chart</t>
  </si>
  <si>
    <t>Plot Month on the x-axis and Profit on the y-axis.</t>
  </si>
  <si>
    <t>Which region should management focus on improving?</t>
  </si>
  <si>
    <t>KPI + bar chart</t>
  </si>
  <si>
    <t>Look for low profit or low margin regions.</t>
  </si>
  <si>
    <t>What filters should the dashboard include?</t>
  </si>
  <si>
    <t>Slicers</t>
  </si>
  <si>
    <t>Start with Region, Category, Sales_Channel, and Customer_Segment.</t>
  </si>
  <si>
    <t>QUESTION 1: Total Revenue for the Year</t>
  </si>
  <si>
    <t>Sum of Revenue</t>
  </si>
  <si>
    <t>Total Revenue</t>
  </si>
  <si>
    <t>QUESTION 2: Total Profit for the Year</t>
  </si>
  <si>
    <t>Sum of Profit</t>
  </si>
  <si>
    <t>Total Profit</t>
  </si>
  <si>
    <t>QUESTION 3: Total Orders Placed</t>
  </si>
  <si>
    <t>Grand Total</t>
  </si>
  <si>
    <t>Count of Order_ID</t>
  </si>
  <si>
    <t>Total Orders</t>
  </si>
  <si>
    <t>QUESTION 4: Highest Revenue Month</t>
  </si>
  <si>
    <t>Months</t>
  </si>
  <si>
    <t>Month Name</t>
  </si>
  <si>
    <t>Jan</t>
  </si>
  <si>
    <t>Feb</t>
  </si>
  <si>
    <t>Mar</t>
  </si>
  <si>
    <t>Apr</t>
  </si>
  <si>
    <t>May</t>
  </si>
  <si>
    <t>Jun</t>
  </si>
  <si>
    <t>Jul</t>
  </si>
  <si>
    <t>Aug</t>
  </si>
  <si>
    <t>Sep</t>
  </si>
  <si>
    <t>Oct</t>
  </si>
  <si>
    <t>Nov</t>
  </si>
  <si>
    <t>Dec</t>
  </si>
  <si>
    <t>QUESTION 5: Top Revenue by Category</t>
  </si>
  <si>
    <t>QUESTION 6: Region Profit Analysis</t>
  </si>
  <si>
    <t>QUESTION 8: Customer Segment Value</t>
  </si>
  <si>
    <t>QUESTION 7: Sales Channel Performance</t>
  </si>
  <si>
    <t>Average of Customer_Rating</t>
  </si>
  <si>
    <t>QUESTION 9: Average Discount Percentage</t>
  </si>
  <si>
    <t>Average of Discount_Pct</t>
  </si>
  <si>
    <t>Average Discount Percentage</t>
  </si>
  <si>
    <t>QUESTION 10: Highest Profit Product</t>
  </si>
  <si>
    <t>QUESTION 11: Top Sales Rep Leaderboard</t>
  </si>
  <si>
    <t>QUESTION 12: Discount vs Profit Margin Analysis</t>
  </si>
  <si>
    <t>Average of Profit_Margin</t>
  </si>
  <si>
    <t>QUESTION 13: Top Cities by Order Count</t>
  </si>
  <si>
    <t>Discount</t>
  </si>
  <si>
    <t>Cities</t>
  </si>
  <si>
    <t>QUESTION 14: Payment Method Usage</t>
  </si>
  <si>
    <t>QUESTION 15: Average Delivery Time</t>
  </si>
  <si>
    <t>East Total</t>
  </si>
  <si>
    <t>North Total</t>
  </si>
  <si>
    <t>Average of Delivery_Days</t>
  </si>
  <si>
    <t>Average Delivary Time</t>
  </si>
  <si>
    <t>QUESTION 16: Best Rated Category</t>
  </si>
  <si>
    <t>QUESTION 17: Top 5 Products by Revenue</t>
  </si>
  <si>
    <t>QUESTION 18: Monthly Profit Trend</t>
  </si>
  <si>
    <t>QUESTION 19: Underperforming Regions</t>
  </si>
  <si>
    <t>AVO</t>
  </si>
  <si>
    <t>Year</t>
  </si>
  <si>
    <t>Total Order</t>
  </si>
  <si>
    <t>Profit Margin</t>
  </si>
  <si>
    <t>Customer Rating</t>
  </si>
  <si>
    <t>Profit_Margin Rate</t>
  </si>
  <si>
    <t>Delivery Days</t>
  </si>
  <si>
    <t>DateTime</t>
  </si>
  <si>
    <t>ExportedBy</t>
  </si>
  <si>
    <t>FilePath</t>
  </si>
  <si>
    <t>FileSize</t>
  </si>
  <si>
    <t>Status</t>
  </si>
  <si>
    <t>aaa</t>
  </si>
  <si>
    <t>C:\Users\aaa\OneDrive\Documents\PakistanSalesDashboard_FY2026_AllRegions_v06131232.pdf</t>
  </si>
  <si>
    <t>383.1 KB</t>
  </si>
  <si>
    <t>SUCCESS</t>
  </si>
  <si>
    <t>C:\Users\aaa\OneDrive\Documents\PakistanSalesDashboard_FY2026_AllRegions_v06131349.pdf</t>
  </si>
  <si>
    <t>C:\Users\aaa\Downloads\PakistanSalesDashboard_FY2026_AllRegions_v06131353.pdf</t>
  </si>
  <si>
    <t>C:\Users\aaa\Downloads\PakistanSalesDashboard_FY2026_AllRegions_v06131405.pdf</t>
  </si>
  <si>
    <t>384.6 KB</t>
  </si>
  <si>
    <t>C:\Users\aaa\Downloads\PakistanSalesDashboard_FY2026_AllRegions_v06131411.pdf</t>
  </si>
  <si>
    <t>381.3 KB</t>
  </si>
  <si>
    <t>C:\Users\aaa\Downloads\PakistanSalesDashboard_FY2026_AllRegions_v06131420.pdf</t>
  </si>
  <si>
    <t>381.4 KB</t>
  </si>
  <si>
    <t>PDF Generated: 6/13/2026 2:22:28 PM | By: aaa | Excel: 16.0 | File: Business_dashboard_dataset .xlsm</t>
  </si>
  <si>
    <t>C:\Users\aaa\Downloads\PakistanSalesDashboard_FY2026_AllRegions_v06131422.pdf</t>
  </si>
  <si>
    <t>381.7 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</si>
</sst>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yyyy"/>
    <numFmt numFmtId="165" formatCode="0.0"/>
    <numFmt numFmtId="166" formatCode="&quot;$&quot;#,##0.00"/>
    <numFmt numFmtId="167" formatCode="&quot;$&quot;#,##0,&quot;K&quot;"/>
  </numFmts>
  <fonts count="9">
    <font>
      <sz val="11"/>
      <name val="Carlito"/>
    </font>
    <font>
      <b/>
      <sz val="11"/>
      <color rgb="FFFFFFFF"/>
      <name val="Carlito"/>
    </font>
    <font>
      <b/>
      <sz val="18"/>
      <color rgb="FF1F4E78"/>
      <name val="Carlito"/>
    </font>
    <font>
      <b/>
      <sz val="11"/>
      <color rgb="FF1F4E78"/>
      <name val="Carlito"/>
    </font>
    <font>
      <sz val="11"/>
      <name val="Carlito"/>
    </font>
    <font>
      <b/>
      <sz val="11"/>
      <name val="Segoe UI"/>
      <family val="2"/>
    </font>
    <font>
      <sz val="18"/>
      <name val="Segoe UI Black"/>
      <family val="2"/>
    </font>
    <font>
      <sz val="18"/>
      <color theme="1"/>
      <name val="Segoe UI Black"/>
      <family val="2"/>
    </font>
    <font>
      <sz val="8"/>
      <color rgb="FF0F1115"/>
      <name val="Segoe UI"/>
      <family val="2"/>
    </font>
  </fonts>
  <fills count="4">
    <fill>
      <patternFill patternType="none"/>
    </fill>
    <fill>
      <patternFill patternType="gray125"/>
    </fill>
    <fill>
      <patternFill patternType="solid">
        <fgColor rgb="FF1F4E78"/>
      </patternFill>
    </fill>
    <fill>
      <patternFill patternType="solid">
        <fgColor rgb="FFD9D9D9"/>
        <bgColor indexed="64"/>
      </patternFill>
    </fill>
  </fills>
  <borders count="1">
    <border>
      <left/>
      <right/>
      <top/>
      <bottom/>
      <diagonal/>
    </border>
  </borders>
  <cellStyleXfs count="2">
    <xf numFmtId="0" fontId="0" fillId="0" borderId="0"/>
    <xf numFmtId="9" fontId="4" fillId="0" borderId="0" applyFont="0" applyFill="0" applyBorder="0" applyAlignment="0" applyProtection="0"/>
  </cellStyleXfs>
  <cellXfs count="36">
    <xf numFmtId="0" fontId="0" fillId="0" borderId="0" xfId="0"/>
    <xf numFmtId="0" fontId="1" fillId="2" borderId="0" xfId="0" applyFont="1" applyFill="1" applyAlignment="1">
      <alignment horizontal="center" vertical="center" wrapText="1"/>
    </xf>
    <xf numFmtId="0" fontId="1" fillId="2" borderId="0" xfId="0" applyFont="1" applyFill="1" applyAlignment="1">
      <alignment horizontal="center" vertical="center"/>
    </xf>
    <xf numFmtId="1" fontId="0" fillId="0" borderId="0" xfId="0" applyNumberFormat="1"/>
    <xf numFmtId="0" fontId="2" fillId="0" borderId="0" xfId="0" applyFont="1" applyAlignment="1">
      <alignment wrapText="1"/>
    </xf>
    <xf numFmtId="0" fontId="0" fillId="0" borderId="0" xfId="0" applyAlignment="1">
      <alignment wrapText="1"/>
    </xf>
    <xf numFmtId="0" fontId="3" fillId="0" borderId="0" xfId="0" applyFont="1" applyAlignment="1">
      <alignment wrapText="1"/>
    </xf>
    <xf numFmtId="49" fontId="1" fillId="2" borderId="0" xfId="0" applyNumberFormat="1" applyFont="1" applyFill="1" applyAlignment="1">
      <alignment horizontal="center" vertical="center"/>
    </xf>
    <xf numFmtId="49" fontId="0" fillId="0" borderId="0" xfId="0" applyNumberFormat="1"/>
    <xf numFmtId="164" fontId="1" fillId="2" borderId="0" xfId="0" applyNumberFormat="1" applyFont="1" applyFill="1" applyAlignment="1">
      <alignment horizontal="center" vertical="center"/>
    </xf>
    <xf numFmtId="164" fontId="0" fillId="0" borderId="0" xfId="0" applyNumberFormat="1"/>
    <xf numFmtId="165" fontId="1" fillId="2" borderId="0" xfId="0" applyNumberFormat="1" applyFont="1" applyFill="1" applyAlignment="1">
      <alignment horizontal="center" vertical="center"/>
    </xf>
    <xf numFmtId="165" fontId="0" fillId="0" borderId="0" xfId="0" applyNumberFormat="1"/>
    <xf numFmtId="1" fontId="1"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6" fontId="0" fillId="0" borderId="0" xfId="0" applyNumberFormat="1"/>
    <xf numFmtId="10" fontId="1" fillId="2" borderId="0" xfId="0" applyNumberFormat="1" applyFont="1" applyFill="1" applyAlignment="1">
      <alignment horizontal="center" vertical="center"/>
    </xf>
    <xf numFmtId="10" fontId="0" fillId="0" borderId="0" xfId="0" applyNumberFormat="1"/>
    <xf numFmtId="0" fontId="0" fillId="3" borderId="0" xfId="0" applyFill="1"/>
    <xf numFmtId="0" fontId="5" fillId="0" borderId="0" xfId="0" applyFont="1" applyAlignment="1">
      <alignment horizontal="center"/>
    </xf>
    <xf numFmtId="0" fontId="0" fillId="0" borderId="0" xfId="0" pivotButton="1"/>
    <xf numFmtId="0" fontId="0" fillId="0" borderId="0" xfId="0" applyAlignment="1">
      <alignment horizontal="left"/>
    </xf>
    <xf numFmtId="10" fontId="0" fillId="0" borderId="0" xfId="1" applyNumberFormat="1" applyFont="1"/>
    <xf numFmtId="10" fontId="0" fillId="0" borderId="0" xfId="0" applyNumberFormat="1" applyAlignment="1">
      <alignment horizontal="left"/>
    </xf>
    <xf numFmtId="9" fontId="0" fillId="0" borderId="0" xfId="0" applyNumberFormat="1"/>
    <xf numFmtId="167" fontId="0" fillId="0" borderId="0" xfId="0" applyNumberFormat="1"/>
    <xf numFmtId="0" fontId="6" fillId="0" borderId="0" xfId="0" pivotButton="1"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167" fontId="7" fillId="0" borderId="0" xfId="0" applyNumberFormat="1" applyFont="1" applyAlignment="1">
      <alignment horizontal="center" vertical="center"/>
    </xf>
    <xf numFmtId="10"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8" fillId="0" borderId="0" xfId="0" applyFont="1"/>
    <xf numFmtId="22" fontId="0" fillId="0" borderId="0" xfId="0" applyNumberFormat="1"/>
    <xf numFmtId="0" fontId="5" fillId="0" borderId="0" xfId="0" applyFont="1" applyAlignment="1">
      <alignment horizontal="center"/>
    </xf>
    <xf numFmtId="0" fontId="0" fillId="0" borderId="0" xfId="0" applyAlignment="1">
      <alignment horizontal="center"/>
    </xf>
  </cellXfs>
  <cellStyles count="2">
    <cellStyle name="Normal" xfId="0" builtinId="0"/>
    <cellStyle name="Percent" xfId="1" builtinId="5"/>
  </cellStyles>
  <dxfs count="70">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font>
        <sz val="18"/>
      </font>
    </dxf>
    <dxf>
      <font>
        <sz val="18"/>
      </font>
    </dxf>
    <dxf>
      <font>
        <sz val="18"/>
      </font>
    </dxf>
    <dxf>
      <font>
        <sz val="18"/>
      </font>
    </dxf>
    <dxf>
      <font>
        <sz val="18"/>
      </font>
    </dxf>
    <dxf>
      <font>
        <sz val="18"/>
      </font>
    </dxf>
    <dxf>
      <font>
        <name val="Segoe UI Black"/>
        <family val="2"/>
      </font>
    </dxf>
    <dxf>
      <font>
        <name val="Segoe UI Black"/>
        <family val="2"/>
      </font>
    </dxf>
    <dxf>
      <font>
        <name val="Segoe UI Black"/>
        <family val="2"/>
      </font>
    </dxf>
    <dxf>
      <font>
        <name val="Segoe UI Black"/>
        <family val="2"/>
      </font>
    </dxf>
    <dxf>
      <font>
        <name val="Segoe UI Black"/>
        <family val="2"/>
      </font>
    </dxf>
    <dxf>
      <font>
        <name val="Segoe UI Black"/>
        <family val="2"/>
      </font>
    </dxf>
    <dxf>
      <font>
        <color theme="1"/>
      </font>
    </dxf>
    <dxf>
      <font>
        <color theme="1"/>
      </font>
    </dxf>
    <dxf>
      <font>
        <color theme="1"/>
      </font>
    </dxf>
    <dxf>
      <numFmt numFmtId="167" formatCode="&quot;$&quot;#,##0,&quot;K&quot;"/>
    </dxf>
    <dxf>
      <numFmt numFmtId="167" formatCode="&quot;$&quot;#,##0,&quot;K&quo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numFmt numFmtId="167" formatCode="&quot;$&quot;#,##0,&quot;K&quot;"/>
    </dxf>
    <dxf>
      <numFmt numFmtId="165" formatCode="0.0"/>
    </dxf>
    <dxf>
      <numFmt numFmtId="1" formatCode="0"/>
    </dxf>
    <dxf>
      <numFmt numFmtId="14" formatCode="0.00%"/>
    </dxf>
    <dxf>
      <numFmt numFmtId="166" formatCode="&quot;$&quot;#,##0.00"/>
    </dxf>
    <dxf>
      <numFmt numFmtId="166" formatCode="&quot;$&quot;#,##0.00"/>
    </dxf>
    <dxf>
      <numFmt numFmtId="166" formatCode="&quot;$&quot;#,##0.00"/>
    </dxf>
    <dxf>
      <numFmt numFmtId="166" formatCode="&quot;$&quot;#,##0.00"/>
    </dxf>
    <dxf>
      <numFmt numFmtId="14" formatCode="0.00%"/>
    </dxf>
    <dxf>
      <numFmt numFmtId="166" formatCode="&quot;$&quot;#,##0.00"/>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4" formatCode="dd/mm/yyyy"/>
    </dxf>
    <dxf>
      <numFmt numFmtId="164" formatCode="dd/mm/yyyy"/>
    </dxf>
    <dxf>
      <numFmt numFmtId="164" formatCode="dd/mm/yyyy"/>
    </dxf>
    <dxf>
      <numFmt numFmtId="30" formatCode="@"/>
    </dxf>
    <dxf>
      <font>
        <color rgb="FFB91C1C"/>
      </font>
    </dxf>
    <dxf>
      <font>
        <b/>
        <sz val="11"/>
        <color theme="1"/>
      </font>
      <fill>
        <patternFill>
          <bgColor rgb="FFFF0000"/>
        </patternFill>
      </fill>
    </dxf>
    <dxf>
      <fill>
        <patternFill patternType="solid">
          <fgColor theme="0"/>
          <bgColor rgb="FFD92200"/>
        </patternFill>
      </fill>
      <border>
        <left style="thin">
          <color theme="1" tint="-0.499984740745262"/>
        </left>
        <right style="thin">
          <color theme="1" tint="-0.499984740745262"/>
        </right>
        <top style="thin">
          <color theme="1" tint="-0.499984740745262"/>
        </top>
        <bottom style="thin">
          <color theme="1" tint="-0.499984740745262"/>
        </bottom>
      </border>
    </dxf>
    <dxf>
      <font>
        <sz val="14"/>
        <color theme="1"/>
        <name val="Segoe UI Black"/>
        <family val="2"/>
        <scheme val="none"/>
      </font>
      <fill>
        <patternFill>
          <fgColor rgb="FFDF2531"/>
          <bgColor rgb="FFDF2531"/>
        </patternFill>
      </fill>
    </dxf>
    <dxf>
      <font>
        <sz val="12"/>
        <color rgb="FFC00000"/>
        <name val="Segoe UI Black"/>
        <family val="2"/>
      </font>
      <fill>
        <patternFill>
          <fgColor rgb="FFC21A03"/>
          <bgColor rgb="FFC00000"/>
        </patternFill>
      </fill>
    </dxf>
  </dxfs>
  <tableStyles count="2" defaultTableStyle="TableStyleMedium2" defaultPivotStyle="PivotStyleLight16">
    <tableStyle name="Slicer Style 1" pivot="0" table="0" count="7" xr9:uid="{F85614D7-C226-4FDE-A417-A16133387BC3}">
      <tableStyleElement type="wholeTable" dxfId="69"/>
      <tableStyleElement type="headerRow" dxfId="68"/>
    </tableStyle>
    <tableStyle name="Timeline Style 1" pivot="0" table="0" count="8" xr9:uid="{B1990AD0-7111-47A5-B5B7-525F349DB587}">
      <tableStyleElement type="wholeTable" dxfId="67"/>
      <tableStyleElement type="headerRow" dxfId="66"/>
    </tableStyle>
  </tableStyles>
  <colors>
    <mruColors>
      <color rgb="FF75162D"/>
      <color rgb="FFF2E5C6"/>
      <color rgb="FFD92200"/>
      <color rgb="FFF2D9A0"/>
      <color rgb="FFC21A03"/>
      <color rgb="FFDF2531"/>
      <color rgb="FF790D0D"/>
      <color rgb="FF3D0B0D"/>
      <color rgb="FFFFFFFF"/>
      <color rgb="FF560B18"/>
    </mruColors>
  </colors>
  <extLst>
    <ext xmlns:x14="http://schemas.microsoft.com/office/spreadsheetml/2009/9/main" uri="{46F421CA-312F-682f-3DD2-61675219B42D}">
      <x14:dxfs count="5">
        <dxf>
          <font>
            <sz val="12"/>
            <color rgb="FFF2E5C6"/>
            <name val="Segoe UI Black"/>
            <family val="2"/>
          </font>
          <fill>
            <patternFill>
              <fgColor rgb="FFDF2531"/>
              <bgColor rgb="FFDF2531"/>
            </patternFill>
          </fill>
        </dxf>
        <dxf>
          <font>
            <sz val="14"/>
            <color rgb="FF75162D"/>
            <name val="Segoe UI Black"/>
            <family val="2"/>
          </font>
          <fill>
            <patternFill>
              <fgColor rgb="FFF2E5C6"/>
              <bgColor rgb="FFF2E5C6"/>
            </patternFill>
          </fill>
        </dxf>
        <dxf>
          <font>
            <b val="0"/>
            <i/>
            <sz val="14"/>
            <color rgb="FF3D0B0D"/>
            <name val="Segoe UI Black"/>
            <family val="2"/>
          </font>
          <fill>
            <patternFill>
              <fgColor rgb="FFFF0000"/>
              <bgColor rgb="FFFF0000"/>
            </patternFill>
          </fill>
        </dxf>
        <dxf>
          <font>
            <sz val="12"/>
            <color rgb="FFDF2531"/>
            <name val="Segoe UI Black"/>
            <family val="2"/>
          </font>
          <fill>
            <patternFill>
              <fgColor rgb="FFF2E5C6"/>
              <bgColor rgb="FFF2E5C6"/>
            </patternFill>
          </fill>
        </dxf>
        <dxf>
          <font>
            <sz val="12"/>
            <color rgb="FFDF2531"/>
            <name val="Segoe UI Black"/>
            <family val="2"/>
          </font>
          <fill>
            <patternFill>
              <fgColor rgb="FFC21A03"/>
              <bgColor rgb="FFF2E5C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A0A4C193-F2C1-4fcb-8827-314CF55A85BB}">
      <x15:dxfs count="6">
        <dxf>
          <fill>
            <patternFill patternType="solid">
              <fgColor theme="0" tint="-0.14996795556505021"/>
              <bgColor rgb="FFFF0000"/>
            </patternFill>
          </fill>
        </dxf>
        <dxf>
          <fill>
            <patternFill patternType="solid">
              <fgColor theme="0"/>
              <bgColor rgb="FFC00000"/>
            </patternFill>
          </fill>
        </dxf>
        <dxf>
          <font>
            <sz val="14"/>
            <color rgb="FF3D0B0D"/>
            <name val="Segoe UI Black"/>
            <family val="2"/>
            <scheme val="none"/>
          </font>
        </dxf>
        <dxf>
          <font>
            <sz val="12"/>
            <color theme="1"/>
            <name val="Segoe UI Black"/>
            <family val="2"/>
            <scheme val="none"/>
          </font>
        </dxf>
        <dxf>
          <font>
            <sz val="12"/>
            <color theme="1"/>
            <name val="Segoe UI Black"/>
            <family val="2"/>
            <scheme val="none"/>
          </font>
        </dxf>
        <dxf>
          <font>
            <sz val="14"/>
            <color theme="1"/>
            <name val="Segoe UI Black"/>
            <family val="2"/>
            <scheme val="none"/>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11/relationships/timelineCache" Target="timelineCaches/timelineCache1.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.xlsm]Pivot_Tables!PivotTable21</c:name>
    <c:fmtId val="3"/>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790D0D"/>
            </a:solidFill>
            <a:round/>
          </a:ln>
          <a:effectLst/>
        </c:spPr>
        <c:marker>
          <c:symbol val="circle"/>
          <c:size val="6"/>
          <c:spPr>
            <a:solidFill>
              <a:schemeClr val="accent2"/>
            </a:solidFill>
            <a:ln w="9525">
              <a:solidFill>
                <a:srgbClr val="3D0B0D"/>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0"/>
          <c:tx>
            <c:strRef>
              <c:f>Pivot_Tables!$B$111</c:f>
              <c:strCache>
                <c:ptCount val="1"/>
                <c:pt idx="0">
                  <c:v>Total</c:v>
                </c:pt>
              </c:strCache>
            </c:strRef>
          </c:tx>
          <c:spPr>
            <a:ln w="28575" cap="rnd">
              <a:solidFill>
                <a:srgbClr val="790D0D"/>
              </a:solidFill>
              <a:round/>
            </a:ln>
            <a:effectLst/>
          </c:spPr>
          <c:marker>
            <c:symbol val="circle"/>
            <c:size val="6"/>
            <c:spPr>
              <a:solidFill>
                <a:schemeClr val="accent2"/>
              </a:solidFill>
              <a:ln w="9525">
                <a:solidFill>
                  <a:srgbClr val="3D0B0D"/>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Pivot_Tables!$A$112:$A$124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Pivot_Tables!$B$112:$B$124</c:f>
              <c:numCache>
                <c:formatCode>"$"#,##0,"K"</c:formatCode>
                <c:ptCount val="12"/>
                <c:pt idx="0">
                  <c:v>6360.7314999999999</c:v>
                </c:pt>
                <c:pt idx="1">
                  <c:v>7173.5429999999997</c:v>
                </c:pt>
                <c:pt idx="2">
                  <c:v>9602.8790000000008</c:v>
                </c:pt>
                <c:pt idx="3">
                  <c:v>11856.366499999998</c:v>
                </c:pt>
                <c:pt idx="4">
                  <c:v>16175.435999999998</c:v>
                </c:pt>
                <c:pt idx="5">
                  <c:v>5455.5964999999997</c:v>
                </c:pt>
                <c:pt idx="6">
                  <c:v>9804.2159999999985</c:v>
                </c:pt>
                <c:pt idx="7">
                  <c:v>6982.2564999999995</c:v>
                </c:pt>
                <c:pt idx="8">
                  <c:v>5721.6510000000007</c:v>
                </c:pt>
                <c:pt idx="9">
                  <c:v>7724.7850000000017</c:v>
                </c:pt>
                <c:pt idx="10">
                  <c:v>8420.468499999999</c:v>
                </c:pt>
                <c:pt idx="11">
                  <c:v>6817.3804999999984</c:v>
                </c:pt>
              </c:numCache>
            </c:numRef>
          </c:val>
          <c:smooth val="0"/>
          <c:extLst>
            <c:ext xmlns:c16="http://schemas.microsoft.com/office/drawing/2014/chart" uri="{C3380CC4-5D6E-409C-BE32-E72D297353CC}">
              <c16:uniqueId val="{00000001-1A10-4960-80B6-01E095601AA4}"/>
            </c:ext>
          </c:extLst>
        </c:ser>
        <c:dLbls>
          <c:dLblPos val="t"/>
          <c:showLegendKey val="0"/>
          <c:showVal val="1"/>
          <c:showCatName val="0"/>
          <c:showSerName val="0"/>
          <c:showPercent val="0"/>
          <c:showBubbleSize val="0"/>
        </c:dLbls>
        <c:marker val="1"/>
        <c:smooth val="0"/>
        <c:axId val="1983363279"/>
        <c:axId val="1983374799"/>
      </c:lineChart>
      <c:catAx>
        <c:axId val="198336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crossAx val="1983374799"/>
        <c:crosses val="autoZero"/>
        <c:auto val="1"/>
        <c:lblAlgn val="ctr"/>
        <c:lblOffset val="100"/>
        <c:noMultiLvlLbl val="0"/>
      </c:catAx>
      <c:valAx>
        <c:axId val="1983374799"/>
        <c:scaling>
          <c:orientation val="minMax"/>
        </c:scaling>
        <c:delete val="1"/>
        <c:axPos val="l"/>
        <c:numFmt formatCode="&quot;$&quot;#,##0,&quot;K&quot;" sourceLinked="1"/>
        <c:majorTickMark val="none"/>
        <c:minorTickMark val="none"/>
        <c:tickLblPos val="nextTo"/>
        <c:crossAx val="198336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 Region Profit Analysis</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4.4444444444444342E-2"/>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3.8888888888888994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5000000000000001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2.5000000000000001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3.8888888888888994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4.4444444444444342E-2"/>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790D0D"/>
              </a:gs>
              <a:gs pos="100000">
                <a:srgbClr val="FF0000"/>
              </a:gs>
            </a:gsLst>
            <a:path path="circle">
              <a:fillToRect l="100000" t="10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790D0D"/>
              </a:gs>
              <a:gs pos="100000">
                <a:srgbClr val="FF0000"/>
              </a:gs>
            </a:gsLst>
            <a:path path="circle">
              <a:fillToRect l="100000" t="100000"/>
            </a:path>
          </a:gradFill>
          <a:ln>
            <a:noFill/>
          </a:ln>
          <a:effectLst/>
          <a:sp3d/>
        </c:spPr>
        <c:dLbl>
          <c:idx val="0"/>
          <c:layout>
            <c:manualLayout>
              <c:x val="2.5000000000000001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790D0D"/>
              </a:gs>
              <a:gs pos="100000">
                <a:srgbClr val="FF0000"/>
              </a:gs>
            </a:gsLst>
            <a:path path="circle">
              <a:fillToRect l="100000" t="100000"/>
            </a:path>
          </a:gradFill>
          <a:ln>
            <a:noFill/>
          </a:ln>
          <a:effectLst/>
          <a:sp3d/>
        </c:spPr>
        <c:dLbl>
          <c:idx val="0"/>
          <c:layout>
            <c:manualLayout>
              <c:x val="3.8888888888888994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rgbClr val="790D0D"/>
              </a:gs>
              <a:gs pos="100000">
                <a:srgbClr val="FF0000"/>
              </a:gs>
            </a:gsLst>
            <a:path path="circle">
              <a:fillToRect l="100000" t="100000"/>
            </a:path>
          </a:gradFill>
          <a:ln>
            <a:noFill/>
          </a:ln>
          <a:effectLst/>
          <a:sp3d/>
        </c:spPr>
        <c:dLbl>
          <c:idx val="0"/>
          <c:layout>
            <c:manualLayout>
              <c:x val="4.4444444444444342E-2"/>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Pivot_Tables!$B$24</c:f>
              <c:strCache>
                <c:ptCount val="1"/>
                <c:pt idx="0">
                  <c:v>Total</c:v>
                </c:pt>
              </c:strCache>
            </c:strRef>
          </c:tx>
          <c:spPr>
            <a:gradFill>
              <a:gsLst>
                <a:gs pos="0">
                  <a:srgbClr val="790D0D"/>
                </a:gs>
                <a:gs pos="100000">
                  <a:srgbClr val="FF0000"/>
                </a:gs>
              </a:gsLst>
              <a:path path="circle">
                <a:fillToRect l="100000" t="100000"/>
              </a:path>
            </a:gradFill>
            <a:ln>
              <a:noFill/>
            </a:ln>
            <a:effectLst/>
            <a:sp3d/>
          </c:spPr>
          <c:invertIfNegative val="0"/>
          <c:dPt>
            <c:idx val="1"/>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0-E0FC-434E-96A3-7B8F57C4ED46}"/>
              </c:ext>
            </c:extLst>
          </c:dPt>
          <c:dPt>
            <c:idx val="2"/>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1-E0FC-434E-96A3-7B8F57C4ED46}"/>
              </c:ext>
            </c:extLst>
          </c:dPt>
          <c:dPt>
            <c:idx val="3"/>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2-E0FC-434E-96A3-7B8F57C4ED46}"/>
              </c:ext>
            </c:extLst>
          </c:dPt>
          <c:dLbls>
            <c:dLbl>
              <c:idx val="1"/>
              <c:layout>
                <c:manualLayout>
                  <c:x val="2.5000000000000001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0FC-434E-96A3-7B8F57C4ED46}"/>
                </c:ext>
              </c:extLst>
            </c:dLbl>
            <c:dLbl>
              <c:idx val="2"/>
              <c:layout>
                <c:manualLayout>
                  <c:x val="3.8888888888888994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0FC-434E-96A3-7B8F57C4ED46}"/>
                </c:ext>
              </c:extLst>
            </c:dLbl>
            <c:dLbl>
              <c:idx val="3"/>
              <c:layout>
                <c:manualLayout>
                  <c:x val="4.4444444444444342E-2"/>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0FC-434E-96A3-7B8F57C4ED46}"/>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Pivot_Tables!$A$25:$A$29</c:f>
              <c:strCache>
                <c:ptCount val="4"/>
                <c:pt idx="0">
                  <c:v>North</c:v>
                </c:pt>
                <c:pt idx="1">
                  <c:v>South</c:v>
                </c:pt>
                <c:pt idx="2">
                  <c:v>East</c:v>
                </c:pt>
                <c:pt idx="3">
                  <c:v>West</c:v>
                </c:pt>
              </c:strCache>
            </c:strRef>
          </c:cat>
          <c:val>
            <c:numRef>
              <c:f>Pivot_Tables!$B$25:$B$29</c:f>
              <c:numCache>
                <c:formatCode>"$"#,##0,"K"</c:formatCode>
                <c:ptCount val="4"/>
                <c:pt idx="0">
                  <c:v>11205.426500000003</c:v>
                </c:pt>
                <c:pt idx="1">
                  <c:v>9904.7519999999968</c:v>
                </c:pt>
                <c:pt idx="2">
                  <c:v>9070.4434999999958</c:v>
                </c:pt>
                <c:pt idx="3">
                  <c:v>8502.3979999999992</c:v>
                </c:pt>
              </c:numCache>
            </c:numRef>
          </c:val>
          <c:shape val="cylinder"/>
          <c:extLst>
            <c:ext xmlns:c16="http://schemas.microsoft.com/office/drawing/2014/chart" uri="{C3380CC4-5D6E-409C-BE32-E72D297353CC}">
              <c16:uniqueId val="{00000003-E0FC-434E-96A3-7B8F57C4ED46}"/>
            </c:ext>
          </c:extLst>
        </c:ser>
        <c:dLbls>
          <c:showLegendKey val="0"/>
          <c:showVal val="1"/>
          <c:showCatName val="0"/>
          <c:showSerName val="0"/>
          <c:showPercent val="0"/>
          <c:showBubbleSize val="0"/>
        </c:dLbls>
        <c:gapWidth val="150"/>
        <c:shape val="box"/>
        <c:axId val="2058523119"/>
        <c:axId val="2058523599"/>
        <c:axId val="0"/>
      </c:bar3DChart>
      <c:catAx>
        <c:axId val="2058523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crossAx val="2058523599"/>
        <c:crosses val="autoZero"/>
        <c:auto val="1"/>
        <c:lblAlgn val="ctr"/>
        <c:lblOffset val="100"/>
        <c:noMultiLvlLbl val="0"/>
      </c:catAx>
      <c:valAx>
        <c:axId val="2058523599"/>
        <c:scaling>
          <c:orientation val="minMax"/>
        </c:scaling>
        <c:delete val="1"/>
        <c:axPos val="b"/>
        <c:numFmt formatCode="&quot;$&quot;#,##0,&quot;K&quot;" sourceLinked="1"/>
        <c:majorTickMark val="none"/>
        <c:minorTickMark val="none"/>
        <c:tickLblPos val="nextTo"/>
        <c:crossAx val="2058523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.xlsm]Pivot_Tables!PivotTable24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790D0D"/>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Pivot_Tables!$B$126</c:f>
              <c:strCache>
                <c:ptCount val="1"/>
                <c:pt idx="0">
                  <c:v>Total</c:v>
                </c:pt>
              </c:strCache>
            </c:strRef>
          </c:tx>
          <c:spPr>
            <a:ln w="28575" cap="rnd">
              <a:solidFill>
                <a:srgbClr val="790D0D"/>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Pivot_Tables!$A$127:$A$139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Pivot_Tables!$B$127:$B$139</c:f>
              <c:numCache>
                <c:formatCode>"$"#,##0,"K"</c:formatCode>
                <c:ptCount val="12"/>
                <c:pt idx="0">
                  <c:v>2614.7814999999996</c:v>
                </c:pt>
                <c:pt idx="1">
                  <c:v>2918.1229999999996</c:v>
                </c:pt>
                <c:pt idx="2">
                  <c:v>3796.2089999999994</c:v>
                </c:pt>
                <c:pt idx="3">
                  <c:v>4271.6765000000005</c:v>
                </c:pt>
                <c:pt idx="4">
                  <c:v>5663.2959999999994</c:v>
                </c:pt>
                <c:pt idx="5">
                  <c:v>2347.5164999999997</c:v>
                </c:pt>
                <c:pt idx="6">
                  <c:v>3556.4559999999997</c:v>
                </c:pt>
                <c:pt idx="7">
                  <c:v>2770.8165000000004</c:v>
                </c:pt>
                <c:pt idx="8">
                  <c:v>2406.8309999999997</c:v>
                </c:pt>
                <c:pt idx="9">
                  <c:v>3034.2249999999995</c:v>
                </c:pt>
                <c:pt idx="10">
                  <c:v>3084.2885000000001</c:v>
                </c:pt>
                <c:pt idx="11">
                  <c:v>2218.8004999999998</c:v>
                </c:pt>
              </c:numCache>
            </c:numRef>
          </c:val>
          <c:smooth val="0"/>
          <c:extLst>
            <c:ext xmlns:c16="http://schemas.microsoft.com/office/drawing/2014/chart" uri="{C3380CC4-5D6E-409C-BE32-E72D297353CC}">
              <c16:uniqueId val="{00000003-1820-490A-A35A-5ECFF70C84A6}"/>
            </c:ext>
          </c:extLst>
        </c:ser>
        <c:dLbls>
          <c:showLegendKey val="0"/>
          <c:showVal val="1"/>
          <c:showCatName val="0"/>
          <c:showSerName val="0"/>
          <c:showPercent val="0"/>
          <c:showBubbleSize val="0"/>
        </c:dLbls>
        <c:marker val="1"/>
        <c:smooth val="0"/>
        <c:axId val="2058527439"/>
        <c:axId val="2058539919"/>
      </c:lineChart>
      <c:catAx>
        <c:axId val="2058527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crossAx val="2058539919"/>
        <c:crosses val="autoZero"/>
        <c:auto val="1"/>
        <c:lblAlgn val="ctr"/>
        <c:lblOffset val="100"/>
        <c:noMultiLvlLbl val="0"/>
      </c:catAx>
      <c:valAx>
        <c:axId val="2058539919"/>
        <c:scaling>
          <c:orientation val="minMax"/>
        </c:scaling>
        <c:delete val="1"/>
        <c:axPos val="l"/>
        <c:numFmt formatCode="&quot;$&quot;#,##0,&quot;K&quot;" sourceLinked="1"/>
        <c:majorTickMark val="none"/>
        <c:minorTickMark val="none"/>
        <c:tickLblPos val="nextTo"/>
        <c:crossAx val="2058527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.xlsm]Pivot_Tables!Sales Channel Performance</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C21A03"/>
          </a:solidFill>
          <a:ln>
            <a:noFill/>
          </a:ln>
          <a:effectLst/>
          <a:scene3d>
            <a:camera prst="orthographicFront"/>
            <a:lightRig rig="brightRoom" dir="t"/>
          </a:scene3d>
          <a:sp3d prstMaterial="flat">
            <a:bevelT w="50800" h="101600" prst="angle"/>
            <a:contourClr>
              <a:srgbClr val="000000"/>
            </a:contourClr>
          </a:sp3d>
        </c:spPr>
        <c:dLbl>
          <c:idx val="0"/>
          <c:layout>
            <c:manualLayout>
              <c:x val="0.16957940550570669"/>
              <c:y val="1.8100458972530507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24EAFD59-378C-432C-AC99-EAF929A29179}" type="CATEGORYNAME">
                  <a:rPr lang="en-US" sz="2000">
                    <a:solidFill>
                      <a:srgbClr val="790D0D"/>
                    </a:solidFill>
                    <a:latin typeface="Segoe UI Black" panose="020B0A02040204020203" pitchFamily="34" charset="0"/>
                    <a:ea typeface="Segoe UI Black" panose="020B0A02040204020203" pitchFamily="34" charset="0"/>
                  </a:rPr>
                  <a:pPr>
                    <a:defRPr/>
                  </a:pPr>
                  <a:t>[CATEGORY NAME]</a:t>
                </a:fld>
                <a:r>
                  <a:rPr lang="en-US" sz="2000" baseline="0">
                    <a:solidFill>
                      <a:srgbClr val="790D0D"/>
                    </a:solidFill>
                  </a:rPr>
                  <a:t>
</a:t>
                </a:r>
                <a:fld id="{F3BFC8A7-C8C3-4D8A-8973-2BD99B477418}" type="PERCENTAGE">
                  <a:rPr lang="en-US" sz="2000" baseline="0">
                    <a:solidFill>
                      <a:srgbClr val="790D0D"/>
                    </a:solidFill>
                  </a:rPr>
                  <a:pPr>
                    <a:defRPr/>
                  </a:pPr>
                  <a:t>[PERCENTAGE]</a:t>
                </a:fld>
                <a:endParaRPr lang="en-US" sz="2000" baseline="0">
                  <a:solidFill>
                    <a:srgbClr val="790D0D"/>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5"/>
        <c:spPr>
          <a:solidFill>
            <a:srgbClr val="DF2531"/>
          </a:solidFill>
          <a:ln>
            <a:noFill/>
          </a:ln>
          <a:effectLst/>
          <a:scene3d>
            <a:camera prst="orthographicFront"/>
            <a:lightRig rig="brightRoom" dir="t"/>
          </a:scene3d>
          <a:sp3d prstMaterial="flat">
            <a:bevelT w="50800" h="101600" prst="angle"/>
            <a:contourClr>
              <a:srgbClr val="000000"/>
            </a:contourClr>
          </a:sp3d>
        </c:spPr>
        <c:dLbl>
          <c:idx val="0"/>
          <c:layout>
            <c:manualLayout>
              <c:x val="0.34141005959049175"/>
              <c:y val="4.2175026928911244E-3"/>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9707C23B-D949-48E8-BE5B-AEBFD7149B82}" type="CATEGORYNAME">
                  <a:rPr lang="en-US" sz="2000">
                    <a:solidFill>
                      <a:srgbClr val="75162D"/>
                    </a:solidFill>
                    <a:latin typeface="Segoe UI Black" panose="020B0A02040204020203" pitchFamily="34" charset="0"/>
                    <a:ea typeface="Segoe UI Black" panose="020B0A02040204020203" pitchFamily="34" charset="0"/>
                  </a:rPr>
                  <a:pPr>
                    <a:defRPr/>
                  </a:pPr>
                  <a:t>[CATEGORY NAME]</a:t>
                </a:fld>
                <a:r>
                  <a:rPr lang="en-US" sz="1000" baseline="0">
                    <a:solidFill>
                      <a:srgbClr val="75162D"/>
                    </a:solidFill>
                  </a:rPr>
                  <a:t>
</a:t>
                </a:r>
                <a:fld id="{0AFA203C-AD22-4DB5-B498-1A6116E0CA4C}" type="PERCENTAGE">
                  <a:rPr lang="en-US" sz="2000" baseline="0">
                    <a:solidFill>
                      <a:srgbClr val="75162D"/>
                    </a:solidFill>
                  </a:rPr>
                  <a:pPr>
                    <a:defRPr/>
                  </a:pPr>
                  <a:t>[PERCENTAGE]</a:t>
                </a:fld>
                <a:endParaRPr lang="en-US" sz="1000" baseline="0">
                  <a:solidFill>
                    <a:srgbClr val="75162D"/>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847260862612065"/>
                  <c:h val="0.18476843507999358"/>
                </c:manualLayout>
              </c15:layout>
              <c15:dlblFieldTable/>
              <c15:showDataLabelsRange val="0"/>
            </c:ext>
          </c:extLst>
        </c:dLbl>
      </c:pivotFmt>
      <c:pivotFmt>
        <c:idx val="16"/>
        <c:spPr>
          <a:solidFill>
            <a:srgbClr val="790D0D"/>
          </a:solidFill>
          <a:ln>
            <a:noFill/>
          </a:ln>
          <a:effectLst/>
          <a:scene3d>
            <a:camera prst="orthographicFront"/>
            <a:lightRig rig="brightRoom" dir="t"/>
          </a:scene3d>
          <a:sp3d prstMaterial="flat">
            <a:bevelT w="50800" h="101600" prst="angle"/>
            <a:contourClr>
              <a:srgbClr val="000000"/>
            </a:contourClr>
          </a:sp3d>
        </c:spPr>
        <c:dLbl>
          <c:idx val="0"/>
          <c:layout>
            <c:manualLayout>
              <c:x val="-0.18538765517149292"/>
              <c:y val="6.6368349565945298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C46ADB69-3907-41AC-A92A-3BF5BDD7603F}" type="CATEGORYNAME">
                  <a:rPr lang="en-US" sz="2000" b="1">
                    <a:solidFill>
                      <a:srgbClr val="790D0D"/>
                    </a:solidFill>
                    <a:latin typeface="Segoe UI Black" panose="020B0A02040204020203" pitchFamily="34" charset="0"/>
                    <a:ea typeface="Segoe UI Black" panose="020B0A02040204020203" pitchFamily="34" charset="0"/>
                  </a:rPr>
                  <a:pPr>
                    <a:defRPr/>
                  </a:pPr>
                  <a:t>[CATEGORY NAME]</a:t>
                </a:fld>
                <a:r>
                  <a:rPr lang="en-US" sz="1400" b="1" baseline="0">
                    <a:solidFill>
                      <a:srgbClr val="790D0D"/>
                    </a:solidFill>
                    <a:latin typeface="Segoe UI Black" panose="020B0A02040204020203" pitchFamily="34" charset="0"/>
                    <a:ea typeface="Segoe UI Black" panose="020B0A02040204020203" pitchFamily="34" charset="0"/>
                  </a:rPr>
                  <a:t>
</a:t>
                </a:r>
                <a:fld id="{DE938918-1071-4282-A985-496E11C51004}" type="PERCENTAGE">
                  <a:rPr lang="en-US" sz="2000" b="1" baseline="0">
                    <a:solidFill>
                      <a:srgbClr val="790D0D"/>
                    </a:solidFill>
                    <a:latin typeface="Segoe UI Black" panose="020B0A02040204020203" pitchFamily="34" charset="0"/>
                    <a:ea typeface="Segoe UI Black" panose="020B0A02040204020203" pitchFamily="34" charset="0"/>
                  </a:rPr>
                  <a:pPr>
                    <a:defRPr/>
                  </a:pPr>
                  <a:t>[PERCENTAGE]</a:t>
                </a:fld>
                <a:endParaRPr lang="en-US" sz="1400" b="1" baseline="0">
                  <a:solidFill>
                    <a:srgbClr val="790D0D"/>
                  </a:solidFill>
                  <a:latin typeface="Segoe UI Black" panose="020B0A02040204020203" pitchFamily="34" charset="0"/>
                  <a:ea typeface="Segoe UI Black" panose="020B0A02040204020203" pitchFamily="34"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21689144858562"/>
                  <c:h val="0.3183870733268121"/>
                </c:manualLayout>
              </c15:layout>
              <c15:dlblFieldTable/>
              <c15:showDataLabelsRange val="0"/>
            </c:ext>
          </c:extLst>
        </c:dLbl>
      </c:pivotFmt>
    </c:pivotFmts>
    <c:plotArea>
      <c:layout>
        <c:manualLayout>
          <c:layoutTarget val="inner"/>
          <c:xMode val="edge"/>
          <c:yMode val="edge"/>
          <c:x val="0.22213370954386952"/>
          <c:y val="5.5487883381735825E-2"/>
          <c:w val="0.46234582679904734"/>
          <c:h val="0.94451211661826417"/>
        </c:manualLayout>
      </c:layout>
      <c:doughnutChart>
        <c:varyColors val="1"/>
        <c:ser>
          <c:idx val="0"/>
          <c:order val="0"/>
          <c:tx>
            <c:strRef>
              <c:f>Pivot_Tables!$J$24</c:f>
              <c:strCache>
                <c:ptCount val="1"/>
                <c:pt idx="0">
                  <c:v>Total</c:v>
                </c:pt>
              </c:strCache>
            </c:strRef>
          </c:tx>
          <c:dPt>
            <c:idx val="0"/>
            <c:bubble3D val="0"/>
            <c:spPr>
              <a:solidFill>
                <a:srgbClr val="C21A0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6FA-4996-9330-CCA62A54A3D6}"/>
              </c:ext>
            </c:extLst>
          </c:dPt>
          <c:dPt>
            <c:idx val="1"/>
            <c:bubble3D val="0"/>
            <c:spPr>
              <a:solidFill>
                <a:srgbClr val="DF253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6FA-4996-9330-CCA62A54A3D6}"/>
              </c:ext>
            </c:extLst>
          </c:dPt>
          <c:dPt>
            <c:idx val="2"/>
            <c:bubble3D val="0"/>
            <c:spPr>
              <a:solidFill>
                <a:srgbClr val="790D0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6FA-4996-9330-CCA62A54A3D6}"/>
              </c:ext>
            </c:extLst>
          </c:dPt>
          <c:dLbls>
            <c:dLbl>
              <c:idx val="0"/>
              <c:layout>
                <c:manualLayout>
                  <c:x val="0.16957940550570669"/>
                  <c:y val="1.8100458972530507E-2"/>
                </c:manualLayout>
              </c:layout>
              <c:tx>
                <c:rich>
                  <a:bodyPr/>
                  <a:lstStyle/>
                  <a:p>
                    <a:fld id="{24EAFD59-378C-432C-AC99-EAF929A29179}" type="CATEGORYNAME">
                      <a:rPr lang="en-US" sz="2000">
                        <a:solidFill>
                          <a:srgbClr val="790D0D"/>
                        </a:solidFill>
                        <a:latin typeface="Segoe UI Black" panose="020B0A02040204020203" pitchFamily="34" charset="0"/>
                        <a:ea typeface="Segoe UI Black" panose="020B0A02040204020203" pitchFamily="34" charset="0"/>
                      </a:rPr>
                      <a:pPr/>
                      <a:t>[CATEGORY NAME]</a:t>
                    </a:fld>
                    <a:r>
                      <a:rPr lang="en-US" sz="2000" baseline="0">
                        <a:solidFill>
                          <a:srgbClr val="790D0D"/>
                        </a:solidFill>
                      </a:rPr>
                      <a:t>
</a:t>
                    </a:r>
                    <a:fld id="{F3BFC8A7-C8C3-4D8A-8973-2BD99B477418}" type="PERCENTAGE">
                      <a:rPr lang="en-US" sz="2000" baseline="0">
                        <a:solidFill>
                          <a:srgbClr val="790D0D"/>
                        </a:solidFill>
                      </a:rPr>
                      <a:pPr/>
                      <a:t>[PERCENTAGE]</a:t>
                    </a:fld>
                    <a:endParaRPr lang="en-US" sz="2000" baseline="0">
                      <a:solidFill>
                        <a:srgbClr val="790D0D"/>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C6FA-4996-9330-CCA62A54A3D6}"/>
                </c:ext>
              </c:extLst>
            </c:dLbl>
            <c:dLbl>
              <c:idx val="1"/>
              <c:layout>
                <c:manualLayout>
                  <c:x val="0.34141005959049175"/>
                  <c:y val="4.2175026928911244E-3"/>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9707C23B-D949-48E8-BE5B-AEBFD7149B82}" type="CATEGORYNAME">
                      <a:rPr lang="en-US" sz="2000">
                        <a:solidFill>
                          <a:srgbClr val="75162D"/>
                        </a:solidFill>
                        <a:latin typeface="Segoe UI Black" panose="020B0A02040204020203" pitchFamily="34" charset="0"/>
                        <a:ea typeface="Segoe UI Black" panose="020B0A02040204020203" pitchFamily="34" charset="0"/>
                      </a:rPr>
                      <a:pPr>
                        <a:defRPr/>
                      </a:pPr>
                      <a:t>[CATEGORY NAME]</a:t>
                    </a:fld>
                    <a:r>
                      <a:rPr lang="en-US" sz="1000" baseline="0">
                        <a:solidFill>
                          <a:srgbClr val="75162D"/>
                        </a:solidFill>
                      </a:rPr>
                      <a:t>
</a:t>
                    </a:r>
                    <a:fld id="{0AFA203C-AD22-4DB5-B498-1A6116E0CA4C}" type="PERCENTAGE">
                      <a:rPr lang="en-US" sz="2000" baseline="0">
                        <a:solidFill>
                          <a:srgbClr val="75162D"/>
                        </a:solidFill>
                      </a:rPr>
                      <a:pPr>
                        <a:defRPr/>
                      </a:pPr>
                      <a:t>[PERCENTAGE]</a:t>
                    </a:fld>
                    <a:endParaRPr lang="en-US" sz="1000" baseline="0">
                      <a:solidFill>
                        <a:srgbClr val="75162D"/>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847260862612065"/>
                      <c:h val="0.18476843507999358"/>
                    </c:manualLayout>
                  </c15:layout>
                  <c15:dlblFieldTable/>
                  <c15:showDataLabelsRange val="0"/>
                </c:ext>
                <c:ext xmlns:c16="http://schemas.microsoft.com/office/drawing/2014/chart" uri="{C3380CC4-5D6E-409C-BE32-E72D297353CC}">
                  <c16:uniqueId val="{00000003-C6FA-4996-9330-CCA62A54A3D6}"/>
                </c:ext>
              </c:extLst>
            </c:dLbl>
            <c:dLbl>
              <c:idx val="2"/>
              <c:layout>
                <c:manualLayout>
                  <c:x val="-0.18538765517149292"/>
                  <c:y val="6.6368349565945298E-2"/>
                </c:manualLayout>
              </c:layout>
              <c:tx>
                <c:rich>
                  <a:bodyPr/>
                  <a:lstStyle/>
                  <a:p>
                    <a:fld id="{C46ADB69-3907-41AC-A92A-3BF5BDD7603F}" type="CATEGORYNAME">
                      <a:rPr lang="en-US" sz="2000" b="1">
                        <a:solidFill>
                          <a:srgbClr val="790D0D"/>
                        </a:solidFill>
                        <a:latin typeface="Segoe UI Black" panose="020B0A02040204020203" pitchFamily="34" charset="0"/>
                        <a:ea typeface="Segoe UI Black" panose="020B0A02040204020203" pitchFamily="34" charset="0"/>
                      </a:rPr>
                      <a:pPr/>
                      <a:t>[CATEGORY NAME]</a:t>
                    </a:fld>
                    <a:r>
                      <a:rPr lang="en-US" sz="1400" b="1" baseline="0">
                        <a:solidFill>
                          <a:srgbClr val="790D0D"/>
                        </a:solidFill>
                        <a:latin typeface="Segoe UI Black" panose="020B0A02040204020203" pitchFamily="34" charset="0"/>
                        <a:ea typeface="Segoe UI Black" panose="020B0A02040204020203" pitchFamily="34" charset="0"/>
                      </a:rPr>
                      <a:t>
</a:t>
                    </a:r>
                    <a:fld id="{DE938918-1071-4282-A985-496E11C51004}" type="PERCENTAGE">
                      <a:rPr lang="en-US" sz="2000" b="1" baseline="0">
                        <a:solidFill>
                          <a:srgbClr val="790D0D"/>
                        </a:solidFill>
                        <a:latin typeface="Segoe UI Black" panose="020B0A02040204020203" pitchFamily="34" charset="0"/>
                        <a:ea typeface="Segoe UI Black" panose="020B0A02040204020203" pitchFamily="34" charset="0"/>
                      </a:rPr>
                      <a:pPr/>
                      <a:t>[PERCENTAGE]</a:t>
                    </a:fld>
                    <a:endParaRPr lang="en-US" sz="1400" b="1" baseline="0">
                      <a:solidFill>
                        <a:srgbClr val="790D0D"/>
                      </a:solidFill>
                      <a:latin typeface="Segoe UI Black" panose="020B0A02040204020203" pitchFamily="34" charset="0"/>
                      <a:ea typeface="Segoe UI Black" panose="020B0A02040204020203" pitchFamily="34" charset="0"/>
                    </a:endParaRPr>
                  </a:p>
                </c:rich>
              </c:tx>
              <c:showLegendKey val="0"/>
              <c:showVal val="0"/>
              <c:showCatName val="1"/>
              <c:showSerName val="0"/>
              <c:showPercent val="1"/>
              <c:showBubbleSize val="0"/>
              <c:extLst>
                <c:ext xmlns:c15="http://schemas.microsoft.com/office/drawing/2012/chart" uri="{CE6537A1-D6FC-4f65-9D91-7224C49458BB}">
                  <c15:layout>
                    <c:manualLayout>
                      <c:w val="0.221689144858562"/>
                      <c:h val="0.3183870733268121"/>
                    </c:manualLayout>
                  </c15:layout>
                  <c15:dlblFieldTable/>
                  <c15:showDataLabelsRange val="0"/>
                </c:ext>
                <c:ext xmlns:c16="http://schemas.microsoft.com/office/drawing/2014/chart" uri="{C3380CC4-5D6E-409C-BE32-E72D297353CC}">
                  <c16:uniqueId val="{00000005-C6FA-4996-9330-CCA62A54A3D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Pivot_Tables!$I$25:$I$28</c:f>
              <c:strCache>
                <c:ptCount val="3"/>
                <c:pt idx="0">
                  <c:v>Distributor</c:v>
                </c:pt>
                <c:pt idx="1">
                  <c:v>Online</c:v>
                </c:pt>
                <c:pt idx="2">
                  <c:v>Retail Store</c:v>
                </c:pt>
              </c:strCache>
            </c:strRef>
          </c:cat>
          <c:val>
            <c:numRef>
              <c:f>Pivot_Tables!$J$25:$J$28</c:f>
              <c:numCache>
                <c:formatCode>"$"#,##0,"K"</c:formatCode>
                <c:ptCount val="3"/>
                <c:pt idx="0">
                  <c:v>26403.218999999994</c:v>
                </c:pt>
                <c:pt idx="1">
                  <c:v>50401.32</c:v>
                </c:pt>
                <c:pt idx="2">
                  <c:v>25290.771000000001</c:v>
                </c:pt>
              </c:numCache>
            </c:numRef>
          </c:val>
          <c:extLst>
            <c:ext xmlns:c16="http://schemas.microsoft.com/office/drawing/2014/chart" uri="{C3380CC4-5D6E-409C-BE32-E72D297353CC}">
              <c16:uniqueId val="{00000006-C6FA-4996-9330-CCA62A54A3D6}"/>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.xlsm]Pivot_Tables!PivotTable10</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3.888888888888889E-2"/>
              <c:y val="-4.62962962962965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4.444444444444444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4.722222222222211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4.722222222222211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4.444444444444444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3.888888888888889E-2"/>
              <c:y val="-4.62962962962965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790D0D"/>
              </a:gs>
              <a:gs pos="100000">
                <a:srgbClr val="FF0000"/>
              </a:gs>
            </a:gsLst>
            <a:path path="circle">
              <a:fillToRect l="100000" t="100000"/>
            </a:path>
            <a:tileRect r="-100000" b="-10000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790D0D"/>
              </a:gs>
              <a:gs pos="100000">
                <a:srgbClr val="FF0000"/>
              </a:gs>
            </a:gsLst>
            <a:path path="circle">
              <a:fillToRect l="100000" t="100000"/>
            </a:path>
            <a:tileRect r="-100000" b="-100000"/>
          </a:gradFill>
          <a:ln>
            <a:noFill/>
          </a:ln>
          <a:effectLst/>
          <a:sp3d/>
        </c:spPr>
        <c:dLbl>
          <c:idx val="0"/>
          <c:layout>
            <c:manualLayout>
              <c:x val="4.7222222222222117E-2"/>
              <c:y val="0"/>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790D0D"/>
              </a:gs>
              <a:gs pos="100000">
                <a:srgbClr val="FF0000"/>
              </a:gs>
            </a:gsLst>
            <a:path path="circle">
              <a:fillToRect l="100000" t="100000"/>
            </a:path>
            <a:tileRect r="-100000" b="-100000"/>
          </a:gradFill>
          <a:ln>
            <a:noFill/>
          </a:ln>
          <a:effectLst/>
          <a:sp3d/>
        </c:spPr>
        <c:dLbl>
          <c:idx val="0"/>
          <c:layout>
            <c:manualLayout>
              <c:x val="4.4444444444444446E-2"/>
              <c:y val="0"/>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790D0D"/>
              </a:gs>
              <a:gs pos="100000">
                <a:srgbClr val="FF0000"/>
              </a:gs>
            </a:gsLst>
            <a:path path="circle">
              <a:fillToRect l="100000" t="100000"/>
            </a:path>
            <a:tileRect r="-100000" b="-100000"/>
          </a:gradFill>
          <a:ln>
            <a:noFill/>
          </a:ln>
          <a:effectLst/>
          <a:sp3d/>
        </c:spPr>
        <c:dLbl>
          <c:idx val="0"/>
          <c:layout>
            <c:manualLayout>
              <c:x val="3.888888888888889E-2"/>
              <c:y val="-4.6296296296296511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rgbClr val="790D0D"/>
              </a:gs>
              <a:gs pos="100000">
                <a:srgbClr val="FF0000"/>
              </a:gs>
            </a:gsLst>
            <a:path path="circle">
              <a:fillToRect l="100000" t="100000"/>
            </a:path>
            <a:tileRect r="-100000" b="-100000"/>
          </a:gradFill>
          <a:ln>
            <a:noFill/>
          </a:ln>
          <a:effectLst/>
          <a:sp3d/>
        </c:spPr>
        <c:dLbl>
          <c:idx val="0"/>
          <c:layout>
            <c:manualLayout>
              <c:x val="2.1500060945054647E-2"/>
              <c:y val="-1.2576412372840988E-16"/>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Pivot_Tables!$B$44</c:f>
              <c:strCache>
                <c:ptCount val="1"/>
                <c:pt idx="0">
                  <c:v>Total</c:v>
                </c:pt>
              </c:strCache>
            </c:strRef>
          </c:tx>
          <c:spPr>
            <a:gradFill flip="none" rotWithShape="1">
              <a:gsLst>
                <a:gs pos="0">
                  <a:srgbClr val="790D0D"/>
                </a:gs>
                <a:gs pos="100000">
                  <a:srgbClr val="FF0000"/>
                </a:gs>
              </a:gsLst>
              <a:path path="circle">
                <a:fillToRect l="100000" t="100000"/>
              </a:path>
              <a:tileRect r="-100000" b="-100000"/>
            </a:gradFill>
            <a:ln>
              <a:noFill/>
            </a:ln>
            <a:effectLst/>
            <a:sp3d/>
          </c:spPr>
          <c:invertIfNegative val="0"/>
          <c:dPt>
            <c:idx val="1"/>
            <c:invertIfNegative val="0"/>
            <c:bubble3D val="0"/>
            <c:spPr>
              <a:gradFill flip="none" rotWithShape="1">
                <a:gsLst>
                  <a:gs pos="0">
                    <a:srgbClr val="790D0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4-19B2-4F10-971E-00BCF556340C}"/>
              </c:ext>
            </c:extLst>
          </c:dPt>
          <c:dPt>
            <c:idx val="2"/>
            <c:invertIfNegative val="0"/>
            <c:bubble3D val="0"/>
            <c:spPr>
              <a:gradFill flip="none" rotWithShape="1">
                <a:gsLst>
                  <a:gs pos="0">
                    <a:srgbClr val="790D0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0-19B2-4F10-971E-00BCF556340C}"/>
              </c:ext>
            </c:extLst>
          </c:dPt>
          <c:dPt>
            <c:idx val="3"/>
            <c:invertIfNegative val="0"/>
            <c:bubble3D val="0"/>
            <c:spPr>
              <a:gradFill flip="none" rotWithShape="1">
                <a:gsLst>
                  <a:gs pos="0">
                    <a:srgbClr val="790D0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1-19B2-4F10-971E-00BCF556340C}"/>
              </c:ext>
            </c:extLst>
          </c:dPt>
          <c:dPt>
            <c:idx val="4"/>
            <c:invertIfNegative val="0"/>
            <c:bubble3D val="0"/>
            <c:spPr>
              <a:gradFill flip="none" rotWithShape="1">
                <a:gsLst>
                  <a:gs pos="0">
                    <a:srgbClr val="790D0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2-19B2-4F10-971E-00BCF556340C}"/>
              </c:ext>
            </c:extLst>
          </c:dPt>
          <c:dLbls>
            <c:dLbl>
              <c:idx val="1"/>
              <c:layout>
                <c:manualLayout>
                  <c:x val="2.1500060945054647E-2"/>
                  <c:y val="-1.2576412372840988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B2-4F10-971E-00BCF556340C}"/>
                </c:ext>
              </c:extLst>
            </c:dLbl>
            <c:dLbl>
              <c:idx val="2"/>
              <c:layout>
                <c:manualLayout>
                  <c:x val="4.722222222222211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B2-4F10-971E-00BCF556340C}"/>
                </c:ext>
              </c:extLst>
            </c:dLbl>
            <c:dLbl>
              <c:idx val="3"/>
              <c:layout>
                <c:manualLayout>
                  <c:x val="4.444444444444444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B2-4F10-971E-00BCF556340C}"/>
                </c:ext>
              </c:extLst>
            </c:dLbl>
            <c:dLbl>
              <c:idx val="4"/>
              <c:layout>
                <c:manualLayout>
                  <c:x val="3.888888888888889E-2"/>
                  <c:y val="-4.629629629629651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9B2-4F10-971E-00BCF556340C}"/>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Pivot_Tables!$A$45:$A$50</c:f>
              <c:strCache>
                <c:ptCount val="5"/>
                <c:pt idx="0">
                  <c:v>Headset</c:v>
                </c:pt>
                <c:pt idx="1">
                  <c:v>Standing Desk</c:v>
                </c:pt>
                <c:pt idx="2">
                  <c:v>Laptop Bag</c:v>
                </c:pt>
                <c:pt idx="3">
                  <c:v>Laptop Stand</c:v>
                </c:pt>
                <c:pt idx="4">
                  <c:v>Keyboard</c:v>
                </c:pt>
              </c:strCache>
            </c:strRef>
          </c:cat>
          <c:val>
            <c:numRef>
              <c:f>Pivot_Tables!$B$45:$B$50</c:f>
              <c:numCache>
                <c:formatCode>"$"#,##0,"K"</c:formatCode>
                <c:ptCount val="5"/>
                <c:pt idx="0">
                  <c:v>5765.9549999999999</c:v>
                </c:pt>
                <c:pt idx="1">
                  <c:v>5591.1415000000006</c:v>
                </c:pt>
                <c:pt idx="2">
                  <c:v>2650.2260000000001</c:v>
                </c:pt>
                <c:pt idx="3">
                  <c:v>2523.9634999999998</c:v>
                </c:pt>
                <c:pt idx="4">
                  <c:v>2513.8049999999998</c:v>
                </c:pt>
              </c:numCache>
            </c:numRef>
          </c:val>
          <c:extLst>
            <c:ext xmlns:c16="http://schemas.microsoft.com/office/drawing/2014/chart" uri="{C3380CC4-5D6E-409C-BE32-E72D297353CC}">
              <c16:uniqueId val="{00000003-19B2-4F10-971E-00BCF556340C}"/>
            </c:ext>
          </c:extLst>
        </c:ser>
        <c:dLbls>
          <c:showLegendKey val="0"/>
          <c:showVal val="1"/>
          <c:showCatName val="0"/>
          <c:showSerName val="0"/>
          <c:showPercent val="0"/>
          <c:showBubbleSize val="0"/>
        </c:dLbls>
        <c:gapWidth val="150"/>
        <c:shape val="box"/>
        <c:axId val="2058558159"/>
        <c:axId val="2058551919"/>
        <c:axId val="0"/>
      </c:bar3DChart>
      <c:catAx>
        <c:axId val="20585581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crossAx val="2058551919"/>
        <c:crosses val="autoZero"/>
        <c:auto val="1"/>
        <c:lblAlgn val="ctr"/>
        <c:lblOffset val="100"/>
        <c:noMultiLvlLbl val="0"/>
      </c:catAx>
      <c:valAx>
        <c:axId val="2058551919"/>
        <c:scaling>
          <c:orientation val="minMax"/>
        </c:scaling>
        <c:delete val="1"/>
        <c:axPos val="b"/>
        <c:numFmt formatCode="&quot;$&quot;#,##0,&quot;K&quot;" sourceLinked="1"/>
        <c:majorTickMark val="none"/>
        <c:minorTickMark val="none"/>
        <c:tickLblPos val="nextTo"/>
        <c:crossAx val="2058558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.xlsm]Pivot_Tables!PivotTable11</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0"/>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5462668816039986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5.0925337632079971E-17"/>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
              <c:y val="-1.85185185185184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0185067526415994E-1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1.0185067526415994E-16"/>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0"/>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2.5462668816039986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5.0925337632079971E-17"/>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0"/>
              <c:y val="-1.85185185185184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1.0185067526415994E-1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1.0185067526415994E-16"/>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rgbClr val="790D0D"/>
              </a:gs>
              <a:gs pos="100000">
                <a:srgbClr val="FF0000"/>
              </a:gs>
            </a:gsLst>
            <a:path path="circle">
              <a:fillToRect l="100000" t="10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rgbClr val="790D0D"/>
              </a:gs>
              <a:gs pos="100000">
                <a:srgbClr val="FF0000"/>
              </a:gs>
            </a:gsLst>
            <a:path path="circle">
              <a:fillToRect l="100000" t="100000"/>
            </a:path>
          </a:gradFill>
          <a:ln>
            <a:noFill/>
          </a:ln>
          <a:effectLst/>
          <a:sp3d/>
        </c:spPr>
        <c:dLbl>
          <c:idx val="0"/>
          <c:layout>
            <c:manualLayout>
              <c:x val="0"/>
              <c:y val="-8.4926076921465227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rgbClr val="790D0D"/>
              </a:gs>
              <a:gs pos="100000">
                <a:srgbClr val="FF0000"/>
              </a:gs>
            </a:gsLst>
            <a:path path="circle">
              <a:fillToRect l="100000" t="100000"/>
            </a:path>
          </a:gradFill>
          <a:ln>
            <a:noFill/>
          </a:ln>
          <a:effectLst/>
          <a:sp3d/>
        </c:spPr>
        <c:dLbl>
          <c:idx val="0"/>
          <c:layout>
            <c:manualLayout>
              <c:x val="-5.9884709753343633E-17"/>
              <c:y val="-4.3027234702328242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0">
                <a:srgbClr val="790D0D"/>
              </a:gs>
              <a:gs pos="100000">
                <a:srgbClr val="FF0000"/>
              </a:gs>
            </a:gsLst>
            <a:path path="circle">
              <a:fillToRect l="100000" t="100000"/>
            </a:path>
          </a:gradFill>
          <a:ln>
            <a:noFill/>
          </a:ln>
          <a:effectLst/>
          <a:sp3d/>
        </c:spPr>
        <c:dLbl>
          <c:idx val="0"/>
          <c:layout>
            <c:manualLayout>
              <c:x val="3.2664764479975019E-3"/>
              <c:y val="-8.9671776458639607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0">
                <a:srgbClr val="790D0D"/>
              </a:gs>
              <a:gs pos="100000">
                <a:srgbClr val="FF0000"/>
              </a:gs>
            </a:gsLst>
            <a:path path="circle">
              <a:fillToRect l="100000" t="100000"/>
            </a:path>
          </a:gradFill>
          <a:ln>
            <a:noFill/>
          </a:ln>
          <a:effectLst/>
          <a:sp3d/>
        </c:spPr>
        <c:dLbl>
          <c:idx val="0"/>
          <c:layout>
            <c:manualLayout>
              <c:x val="-5.9884709753343633E-17"/>
              <c:y val="-7.103717271655600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0">
                <a:srgbClr val="790D0D"/>
              </a:gs>
              <a:gs pos="100000">
                <a:srgbClr val="FF0000"/>
              </a:gs>
            </a:gsLst>
            <a:path path="circle">
              <a:fillToRect l="100000" t="100000"/>
            </a:path>
          </a:gradFill>
          <a:ln>
            <a:noFill/>
          </a:ln>
          <a:effectLst/>
          <a:sp3d/>
        </c:spPr>
        <c:dLbl>
          <c:idx val="0"/>
          <c:layout>
            <c:manualLayout>
              <c:x val="-1.1976941950668727E-16"/>
              <c:y val="-4.3027234702328242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0">
                <a:srgbClr val="790D0D"/>
              </a:gs>
              <a:gs pos="100000">
                <a:srgbClr val="FF0000"/>
              </a:gs>
            </a:gsLst>
            <a:path path="circle">
              <a:fillToRect l="100000" t="100000"/>
            </a:path>
          </a:gradFill>
          <a:ln>
            <a:noFill/>
          </a:ln>
          <a:effectLst/>
          <a:sp3d/>
        </c:spPr>
        <c:dLbl>
          <c:idx val="0"/>
          <c:layout>
            <c:manualLayout>
              <c:x val="0"/>
              <c:y val="-7.9051984901099562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Pivot_Tables!$J$43</c:f>
              <c:strCache>
                <c:ptCount val="1"/>
                <c:pt idx="0">
                  <c:v>Total</c:v>
                </c:pt>
              </c:strCache>
            </c:strRef>
          </c:tx>
          <c:spPr>
            <a:gradFill>
              <a:gsLst>
                <a:gs pos="0">
                  <a:srgbClr val="790D0D"/>
                </a:gs>
                <a:gs pos="100000">
                  <a:srgbClr val="FF0000"/>
                </a:gs>
              </a:gsLst>
              <a:path path="circle">
                <a:fillToRect l="100000" t="100000"/>
              </a:path>
            </a:gradFill>
            <a:ln>
              <a:noFill/>
            </a:ln>
            <a:effectLst/>
            <a:sp3d/>
          </c:spPr>
          <c:invertIfNegative val="0"/>
          <c:dPt>
            <c:idx val="0"/>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0-D2FE-4EDB-B8C5-712FDBDCA0D5}"/>
              </c:ext>
            </c:extLst>
          </c:dPt>
          <c:dPt>
            <c:idx val="1"/>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1-D2FE-4EDB-B8C5-712FDBDCA0D5}"/>
              </c:ext>
            </c:extLst>
          </c:dPt>
          <c:dPt>
            <c:idx val="2"/>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2-D2FE-4EDB-B8C5-712FDBDCA0D5}"/>
              </c:ext>
            </c:extLst>
          </c:dPt>
          <c:dPt>
            <c:idx val="3"/>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3-D2FE-4EDB-B8C5-712FDBDCA0D5}"/>
              </c:ext>
            </c:extLst>
          </c:dPt>
          <c:dPt>
            <c:idx val="4"/>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4-D2FE-4EDB-B8C5-712FDBDCA0D5}"/>
              </c:ext>
            </c:extLst>
          </c:dPt>
          <c:dPt>
            <c:idx val="5"/>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5-D2FE-4EDB-B8C5-712FDBDCA0D5}"/>
              </c:ext>
            </c:extLst>
          </c:dPt>
          <c:dLbls>
            <c:dLbl>
              <c:idx val="0"/>
              <c:layout>
                <c:manualLayout>
                  <c:x val="0"/>
                  <c:y val="-8.49260769214652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FE-4EDB-B8C5-712FDBDCA0D5}"/>
                </c:ext>
              </c:extLst>
            </c:dLbl>
            <c:dLbl>
              <c:idx val="1"/>
              <c:layout>
                <c:manualLayout>
                  <c:x val="-5.9884709753343633E-17"/>
                  <c:y val="-4.30272347023282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2FE-4EDB-B8C5-712FDBDCA0D5}"/>
                </c:ext>
              </c:extLst>
            </c:dLbl>
            <c:dLbl>
              <c:idx val="2"/>
              <c:layout>
                <c:manualLayout>
                  <c:x val="3.2664764479975019E-3"/>
                  <c:y val="-8.96717764586396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2FE-4EDB-B8C5-712FDBDCA0D5}"/>
                </c:ext>
              </c:extLst>
            </c:dLbl>
            <c:dLbl>
              <c:idx val="3"/>
              <c:layout>
                <c:manualLayout>
                  <c:x val="-5.9884709753343633E-17"/>
                  <c:y val="-7.10371727165560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FE-4EDB-B8C5-712FDBDCA0D5}"/>
                </c:ext>
              </c:extLst>
            </c:dLbl>
            <c:dLbl>
              <c:idx val="4"/>
              <c:layout>
                <c:manualLayout>
                  <c:x val="-1.1976941950668727E-16"/>
                  <c:y val="-4.30272347023282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FE-4EDB-B8C5-712FDBDCA0D5}"/>
                </c:ext>
              </c:extLst>
            </c:dLbl>
            <c:dLbl>
              <c:idx val="5"/>
              <c:layout>
                <c:manualLayout>
                  <c:x val="0"/>
                  <c:y val="-7.90519849010995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2FE-4EDB-B8C5-712FDBDCA0D5}"/>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Pivot_Tables!$I$44:$I$50</c:f>
              <c:strCache>
                <c:ptCount val="6"/>
                <c:pt idx="0">
                  <c:v>Hamza</c:v>
                </c:pt>
                <c:pt idx="1">
                  <c:v>Omar</c:v>
                </c:pt>
                <c:pt idx="2">
                  <c:v>Ayesha</c:v>
                </c:pt>
                <c:pt idx="3">
                  <c:v>Fatima</c:v>
                </c:pt>
                <c:pt idx="4">
                  <c:v>Mariam</c:v>
                </c:pt>
                <c:pt idx="5">
                  <c:v>Bilal</c:v>
                </c:pt>
              </c:strCache>
            </c:strRef>
          </c:cat>
          <c:val>
            <c:numRef>
              <c:f>Pivot_Tables!$J$44:$J$50</c:f>
              <c:numCache>
                <c:formatCode>"$"#,##0,"K"</c:formatCode>
                <c:ptCount val="6"/>
                <c:pt idx="0">
                  <c:v>20337.63</c:v>
                </c:pt>
                <c:pt idx="1">
                  <c:v>19958.020499999995</c:v>
                </c:pt>
                <c:pt idx="2">
                  <c:v>17699.2765</c:v>
                </c:pt>
                <c:pt idx="3">
                  <c:v>15861.546499999999</c:v>
                </c:pt>
                <c:pt idx="4">
                  <c:v>15386.765999999998</c:v>
                </c:pt>
                <c:pt idx="5">
                  <c:v>12852.070500000002</c:v>
                </c:pt>
              </c:numCache>
            </c:numRef>
          </c:val>
          <c:shape val="cylinder"/>
          <c:extLst>
            <c:ext xmlns:c16="http://schemas.microsoft.com/office/drawing/2014/chart" uri="{C3380CC4-5D6E-409C-BE32-E72D297353CC}">
              <c16:uniqueId val="{00000006-D2FE-4EDB-B8C5-712FDBDCA0D5}"/>
            </c:ext>
          </c:extLst>
        </c:ser>
        <c:dLbls>
          <c:showLegendKey val="0"/>
          <c:showVal val="1"/>
          <c:showCatName val="0"/>
          <c:showSerName val="0"/>
          <c:showPercent val="0"/>
          <c:showBubbleSize val="0"/>
        </c:dLbls>
        <c:gapWidth val="150"/>
        <c:shape val="box"/>
        <c:axId val="2058568719"/>
        <c:axId val="2058573519"/>
        <c:axId val="0"/>
      </c:bar3DChart>
      <c:catAx>
        <c:axId val="20585687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rgbClr val="790D0D"/>
                </a:solidFill>
                <a:latin typeface="Segoe UI Black" panose="020B0A02040204020203" pitchFamily="34" charset="0"/>
                <a:ea typeface="Segoe UI Black" panose="020B0A02040204020203" pitchFamily="34" charset="0"/>
                <a:cs typeface="+mn-cs"/>
              </a:defRPr>
            </a:pPr>
            <a:endParaRPr lang="en-US"/>
          </a:p>
        </c:txPr>
        <c:crossAx val="2058573519"/>
        <c:crosses val="autoZero"/>
        <c:auto val="1"/>
        <c:lblAlgn val="ctr"/>
        <c:lblOffset val="100"/>
        <c:noMultiLvlLbl val="0"/>
      </c:catAx>
      <c:valAx>
        <c:axId val="2058573519"/>
        <c:scaling>
          <c:orientation val="minMax"/>
        </c:scaling>
        <c:delete val="1"/>
        <c:axPos val="l"/>
        <c:numFmt formatCode="&quot;$&quot;#,##0,&quot;K&quot;" sourceLinked="1"/>
        <c:majorTickMark val="none"/>
        <c:minorTickMark val="none"/>
        <c:tickLblPos val="nextTo"/>
        <c:crossAx val="205856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8100" cap="rnd">
              <a:noFill/>
              <a:round/>
            </a:ln>
            <a:effectLst/>
          </c:spPr>
          <c:marker>
            <c:symbol val="circle"/>
            <c:size val="9"/>
            <c:spPr>
              <a:solidFill>
                <a:srgbClr val="75162D"/>
              </a:solidFill>
              <a:ln w="9525">
                <a:solidFill>
                  <a:schemeClr val="accent1"/>
                </a:solidFill>
              </a:ln>
              <a:effectLst/>
            </c:spPr>
          </c:marker>
          <c:dLbls>
            <c:dLbl>
              <c:idx val="0"/>
              <c:layout>
                <c:manualLayout>
                  <c:x val="-2.5078811660650749E-3"/>
                  <c:y val="-2.23147505381978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44-4FA1-9EBA-0AC6E01F4AA7}"/>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Pivot_Tables!$C$60:$C$64</c:f>
              <c:numCache>
                <c:formatCode>0.00%</c:formatCode>
                <c:ptCount val="5"/>
                <c:pt idx="0">
                  <c:v>0</c:v>
                </c:pt>
                <c:pt idx="1">
                  <c:v>0.05</c:v>
                </c:pt>
                <c:pt idx="2">
                  <c:v>0.1</c:v>
                </c:pt>
                <c:pt idx="3">
                  <c:v>0.15</c:v>
                </c:pt>
                <c:pt idx="4">
                  <c:v>0.2</c:v>
                </c:pt>
              </c:numCache>
            </c:numRef>
          </c:xVal>
          <c:yVal>
            <c:numRef>
              <c:f>Pivot_Tables!$D$60:$D$64</c:f>
              <c:numCache>
                <c:formatCode>0.00%</c:formatCode>
                <c:ptCount val="5"/>
                <c:pt idx="0">
                  <c:v>0.42567335411241086</c:v>
                </c:pt>
                <c:pt idx="1">
                  <c:v>0.40358758762403668</c:v>
                </c:pt>
                <c:pt idx="2">
                  <c:v>0.38287023990749908</c:v>
                </c:pt>
                <c:pt idx="3">
                  <c:v>0.36590104933844564</c:v>
                </c:pt>
                <c:pt idx="4">
                  <c:v>0.32206779451870443</c:v>
                </c:pt>
              </c:numCache>
            </c:numRef>
          </c:yVal>
          <c:smooth val="0"/>
          <c:extLst>
            <c:ext xmlns:c16="http://schemas.microsoft.com/office/drawing/2014/chart" uri="{C3380CC4-5D6E-409C-BE32-E72D297353CC}">
              <c16:uniqueId val="{00000000-C544-4FA1-9EBA-0AC6E01F4AA7}"/>
            </c:ext>
          </c:extLst>
        </c:ser>
        <c:dLbls>
          <c:dLblPos val="t"/>
          <c:showLegendKey val="0"/>
          <c:showVal val="1"/>
          <c:showCatName val="0"/>
          <c:showSerName val="0"/>
          <c:showPercent val="0"/>
          <c:showBubbleSize val="0"/>
        </c:dLbls>
        <c:axId val="2058545199"/>
        <c:axId val="2058570159"/>
      </c:scatterChart>
      <c:valAx>
        <c:axId val="2058545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800">
                    <a:solidFill>
                      <a:srgbClr val="75162D"/>
                    </a:solidFill>
                    <a:latin typeface="Segoe UI Black" panose="020B0A02040204020203" pitchFamily="34" charset="0"/>
                    <a:ea typeface="Segoe UI Black" panose="020B0A02040204020203" pitchFamily="34" charset="0"/>
                  </a:rPr>
                  <a:t>Discount</a:t>
                </a:r>
                <a:r>
                  <a:rPr lang="en-US" sz="1800" baseline="0">
                    <a:solidFill>
                      <a:srgbClr val="75162D"/>
                    </a:solidFill>
                    <a:latin typeface="Segoe UI Black" panose="020B0A02040204020203" pitchFamily="34" charset="0"/>
                    <a:ea typeface="Segoe UI Black" panose="020B0A02040204020203" pitchFamily="34" charset="0"/>
                  </a:rPr>
                  <a:t> Rate</a:t>
                </a:r>
                <a:endParaRPr lang="en-US" sz="1800">
                  <a:solidFill>
                    <a:srgbClr val="75162D"/>
                  </a:solidFill>
                  <a:latin typeface="Segoe UI Black" panose="020B0A02040204020203" pitchFamily="34" charset="0"/>
                  <a:ea typeface="Segoe UI Black" panose="020B0A02040204020203"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570159"/>
        <c:crosses val="autoZero"/>
        <c:crossBetween val="midCat"/>
      </c:valAx>
      <c:valAx>
        <c:axId val="2058570159"/>
        <c:scaling>
          <c:orientation val="minMax"/>
          <c:min val="0.32000000000000006"/>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800">
                    <a:solidFill>
                      <a:srgbClr val="75162D"/>
                    </a:solidFill>
                    <a:latin typeface="Segoe UI Black" panose="020B0A02040204020203" pitchFamily="34" charset="0"/>
                    <a:ea typeface="Segoe UI Black" panose="020B0A02040204020203" pitchFamily="34" charset="0"/>
                  </a:rPr>
                  <a:t>Margin</a:t>
                </a:r>
                <a:r>
                  <a:rPr lang="en-US" sz="1800" baseline="0">
                    <a:solidFill>
                      <a:srgbClr val="75162D"/>
                    </a:solidFill>
                    <a:latin typeface="Segoe UI Black" panose="020B0A02040204020203" pitchFamily="34" charset="0"/>
                    <a:ea typeface="Segoe UI Black" panose="020B0A02040204020203" pitchFamily="34" charset="0"/>
                  </a:rPr>
                  <a:t> Profit Rate</a:t>
                </a:r>
                <a:endParaRPr lang="en-US" sz="1800">
                  <a:solidFill>
                    <a:srgbClr val="75162D"/>
                  </a:solidFill>
                  <a:latin typeface="Segoe UI Black" panose="020B0A02040204020203" pitchFamily="34" charset="0"/>
                  <a:ea typeface="Segoe UI Black" panose="020B0A02040204020203"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5451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 Top Cities by Order Count</c:name>
    <c:fmtId val="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C21A03"/>
              </a:gs>
              <a:gs pos="100000">
                <a:srgbClr val="DF2531"/>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C21A03"/>
              </a:gs>
              <a:gs pos="100000">
                <a:srgbClr val="DF2531"/>
              </a:gs>
            </a:gsLst>
            <a:lin ang="5400000" scaled="1"/>
          </a:gradFill>
          <a:ln>
            <a:noFill/>
          </a:ln>
          <a:effectLst/>
          <a:sp3d/>
        </c:spPr>
        <c:dLbl>
          <c:idx val="0"/>
          <c:layout>
            <c:manualLayout>
              <c:x val="8.1437976644612581E-3"/>
              <c:y val="-0.3108491382001221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C21A03"/>
              </a:gs>
              <a:gs pos="100000">
                <a:srgbClr val="DF2531"/>
              </a:gs>
            </a:gsLst>
            <a:lin ang="5400000" scaled="1"/>
          </a:gradFill>
          <a:ln>
            <a:noFill/>
          </a:ln>
          <a:effectLst/>
          <a:sp3d/>
        </c:spPr>
        <c:dLbl>
          <c:idx val="0"/>
          <c:layout>
            <c:manualLayout>
              <c:x val="1.1633996663516328E-3"/>
              <c:y val="-0.3003710773619158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rgbClr val="C21A03"/>
              </a:gs>
              <a:gs pos="100000">
                <a:srgbClr val="DF2531"/>
              </a:gs>
            </a:gsLst>
            <a:lin ang="5400000" scaled="1"/>
          </a:gradFill>
          <a:ln>
            <a:noFill/>
          </a:ln>
          <a:effectLst/>
          <a:sp3d/>
        </c:spPr>
        <c:dLbl>
          <c:idx val="0"/>
          <c:layout>
            <c:manualLayout>
              <c:x val="8.1437976644614281E-3"/>
              <c:y val="-0.3562540684990164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C21A03"/>
              </a:gs>
              <a:gs pos="100000">
                <a:srgbClr val="DF2531"/>
              </a:gs>
            </a:gsLst>
            <a:lin ang="5400000" scaled="1"/>
          </a:gradFill>
          <a:ln>
            <a:noFill/>
          </a:ln>
          <a:effectLst/>
          <a:sp3d/>
        </c:spPr>
        <c:dLbl>
          <c:idx val="0"/>
          <c:layout>
            <c:manualLayout>
              <c:x val="2.3267993327031802E-3"/>
              <c:y val="-0.3387906337686724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rgbClr val="C21A03"/>
              </a:gs>
              <a:gs pos="100000">
                <a:srgbClr val="DF2531"/>
              </a:gs>
            </a:gsLst>
            <a:lin ang="5400000" scaled="1"/>
          </a:gradFill>
          <a:ln>
            <a:noFill/>
          </a:ln>
          <a:effectLst/>
          <a:sp3d/>
        </c:spPr>
        <c:dLbl>
          <c:idx val="0"/>
          <c:layout>
            <c:manualLayout>
              <c:x val="5.8169983317581638E-3"/>
              <c:y val="-0.3457760076608100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C21A03"/>
              </a:gs>
              <a:gs pos="100000">
                <a:srgbClr val="DF2531"/>
              </a:gs>
            </a:gsLst>
            <a:lin ang="5400000" scaled="1"/>
          </a:gradFill>
          <a:ln>
            <a:noFill/>
          </a:ln>
          <a:effectLst/>
          <a:sp3d/>
        </c:spPr>
        <c:dLbl>
          <c:idx val="0"/>
          <c:layout>
            <c:manualLayout>
              <c:x val="4.6535986654065312E-3"/>
              <c:y val="-0.3702248162832916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C21A03"/>
              </a:gs>
              <a:gs pos="100000">
                <a:srgbClr val="DF2531"/>
              </a:gs>
            </a:gsLst>
            <a:lin ang="5400000" scaled="1"/>
          </a:gradFill>
          <a:ln>
            <a:noFill/>
          </a:ln>
          <a:effectLst/>
          <a:sp3d/>
        </c:spPr>
        <c:dLbl>
          <c:idx val="0"/>
          <c:layout>
            <c:manualLayout>
              <c:x val="6.9803979981097964E-3"/>
              <c:y val="-0.3807028771214979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C21A03"/>
              </a:gs>
              <a:gs pos="100000">
                <a:srgbClr val="DF2531"/>
              </a:gs>
            </a:gsLst>
            <a:lin ang="5400000" scaled="1"/>
          </a:gradFill>
          <a:ln>
            <a:noFill/>
          </a:ln>
          <a:effectLst/>
          <a:sp3d/>
        </c:spPr>
        <c:dLbl>
          <c:idx val="0"/>
          <c:layout>
            <c:manualLayout>
              <c:x val="6.9803979981097539E-3"/>
              <c:y val="-0.3807028771214979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rgbClr val="C21A03"/>
              </a:gs>
              <a:gs pos="100000">
                <a:srgbClr val="DF2531"/>
              </a:gs>
            </a:gsLst>
            <a:lin ang="5400000" scaled="1"/>
          </a:gradFill>
          <a:ln>
            <a:noFill/>
          </a:ln>
          <a:effectLst/>
          <a:sp3d/>
        </c:spPr>
        <c:dLbl>
          <c:idx val="0"/>
          <c:layout>
            <c:manualLayout>
              <c:x val="5.8169983317581638E-3"/>
              <c:y val="-0.4226151204743233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0">
                <a:srgbClr val="C21A03"/>
              </a:gs>
              <a:gs pos="100000">
                <a:srgbClr val="DF2531"/>
              </a:gs>
            </a:gsLst>
            <a:lin ang="5400000" scaled="1"/>
          </a:gradFill>
          <a:ln>
            <a:noFill/>
          </a:ln>
          <a:effectLst/>
          <a:sp3d/>
        </c:spPr>
        <c:dLbl>
          <c:idx val="0"/>
          <c:layout>
            <c:manualLayout>
              <c:x val="3.4901989990548552E-3"/>
              <c:y val="-0.43671171814871518"/>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rgbClr val="C21A03"/>
              </a:gs>
              <a:gs pos="100000">
                <a:srgbClr val="DF2531"/>
              </a:gs>
            </a:gsLst>
            <a:lin ang="5400000" scaled="1"/>
          </a:gradFill>
          <a:ln>
            <a:noFill/>
          </a:ln>
          <a:effectLst/>
          <a:sp3d/>
        </c:spPr>
        <c:dLbl>
          <c:idx val="0"/>
          <c:layout>
            <c:manualLayout>
              <c:x val="5.8169983317581638E-3"/>
              <c:y val="-0.4296004943664610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rgbClr val="C21A03"/>
              </a:gs>
              <a:gs pos="100000">
                <a:srgbClr val="DF2531"/>
              </a:gs>
            </a:gsLst>
            <a:lin ang="5400000" scaled="1"/>
          </a:gradFill>
          <a:ln>
            <a:noFill/>
          </a:ln>
          <a:effectLst/>
          <a:sp3d/>
        </c:spPr>
        <c:dLbl>
          <c:idx val="0"/>
          <c:layout>
            <c:manualLayout>
              <c:x val="4.6535986654065312E-3"/>
              <c:y val="-0.41562974658218588"/>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Pivot_Tables!$J$55</c:f>
              <c:strCache>
                <c:ptCount val="1"/>
                <c:pt idx="0">
                  <c:v>Total</c:v>
                </c:pt>
              </c:strCache>
            </c:strRef>
          </c:tx>
          <c:spPr>
            <a:gradFill>
              <a:gsLst>
                <a:gs pos="0">
                  <a:srgbClr val="C21A03"/>
                </a:gs>
                <a:gs pos="100000">
                  <a:srgbClr val="DF2531"/>
                </a:gs>
              </a:gsLst>
              <a:lin ang="5400000" scaled="1"/>
            </a:gradFill>
            <a:ln>
              <a:noFill/>
            </a:ln>
            <a:effectLst/>
            <a:sp3d/>
          </c:spPr>
          <c:invertIfNegative val="0"/>
          <c:dPt>
            <c:idx val="0"/>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C-2563-4431-945B-7EF72206CEF2}"/>
              </c:ext>
            </c:extLst>
          </c:dPt>
          <c:dPt>
            <c:idx val="1"/>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B-2563-4431-945B-7EF72206CEF2}"/>
              </c:ext>
            </c:extLst>
          </c:dPt>
          <c:dPt>
            <c:idx val="2"/>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A-2563-4431-945B-7EF72206CEF2}"/>
              </c:ext>
            </c:extLst>
          </c:dPt>
          <c:dPt>
            <c:idx val="3"/>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9-2563-4431-945B-7EF72206CEF2}"/>
              </c:ext>
            </c:extLst>
          </c:dPt>
          <c:dPt>
            <c:idx val="4"/>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8-2563-4431-945B-7EF72206CEF2}"/>
              </c:ext>
            </c:extLst>
          </c:dPt>
          <c:dPt>
            <c:idx val="5"/>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7-2563-4431-945B-7EF72206CEF2}"/>
              </c:ext>
            </c:extLst>
          </c:dPt>
          <c:dPt>
            <c:idx val="6"/>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6-2563-4431-945B-7EF72206CEF2}"/>
              </c:ext>
            </c:extLst>
          </c:dPt>
          <c:dPt>
            <c:idx val="7"/>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5-2563-4431-945B-7EF72206CEF2}"/>
              </c:ext>
            </c:extLst>
          </c:dPt>
          <c:dPt>
            <c:idx val="8"/>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3-2563-4431-945B-7EF72206CEF2}"/>
              </c:ext>
            </c:extLst>
          </c:dPt>
          <c:dPt>
            <c:idx val="9"/>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4-2563-4431-945B-7EF72206CEF2}"/>
              </c:ext>
            </c:extLst>
          </c:dPt>
          <c:dPt>
            <c:idx val="10"/>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2-2563-4431-945B-7EF72206CEF2}"/>
              </c:ext>
            </c:extLst>
          </c:dPt>
          <c:dPt>
            <c:idx val="11"/>
            <c:invertIfNegative val="0"/>
            <c:bubble3D val="0"/>
            <c:spPr>
              <a:gradFill>
                <a:gsLst>
                  <a:gs pos="0">
                    <a:srgbClr val="C21A03"/>
                  </a:gs>
                  <a:gs pos="100000">
                    <a:srgbClr val="DF2531"/>
                  </a:gs>
                </a:gsLst>
                <a:lin ang="5400000" scaled="1"/>
              </a:gradFill>
              <a:ln>
                <a:noFill/>
              </a:ln>
              <a:effectLst/>
              <a:sp3d/>
            </c:spPr>
            <c:extLst>
              <c:ext xmlns:c16="http://schemas.microsoft.com/office/drawing/2014/chart" uri="{C3380CC4-5D6E-409C-BE32-E72D297353CC}">
                <c16:uniqueId val="{00000001-2563-4431-945B-7EF72206CEF2}"/>
              </c:ext>
            </c:extLst>
          </c:dPt>
          <c:dLbls>
            <c:dLbl>
              <c:idx val="0"/>
              <c:layout>
                <c:manualLayout>
                  <c:x val="4.6535986654065312E-3"/>
                  <c:y val="-0.415629746582185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563-4431-945B-7EF72206CEF2}"/>
                </c:ext>
              </c:extLst>
            </c:dLbl>
            <c:dLbl>
              <c:idx val="1"/>
              <c:layout>
                <c:manualLayout>
                  <c:x val="5.8169983317581638E-3"/>
                  <c:y val="-0.429600494366461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563-4431-945B-7EF72206CEF2}"/>
                </c:ext>
              </c:extLst>
            </c:dLbl>
            <c:dLbl>
              <c:idx val="2"/>
              <c:layout>
                <c:manualLayout>
                  <c:x val="3.4901989990548552E-3"/>
                  <c:y val="-0.436711718148715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563-4431-945B-7EF72206CEF2}"/>
                </c:ext>
              </c:extLst>
            </c:dLbl>
            <c:dLbl>
              <c:idx val="3"/>
              <c:layout>
                <c:manualLayout>
                  <c:x val="5.8169983317581638E-3"/>
                  <c:y val="-0.4226151204743233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563-4431-945B-7EF72206CEF2}"/>
                </c:ext>
              </c:extLst>
            </c:dLbl>
            <c:dLbl>
              <c:idx val="4"/>
              <c:layout>
                <c:manualLayout>
                  <c:x val="6.9803979981097539E-3"/>
                  <c:y val="-0.380702877121497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563-4431-945B-7EF72206CEF2}"/>
                </c:ext>
              </c:extLst>
            </c:dLbl>
            <c:dLbl>
              <c:idx val="5"/>
              <c:layout>
                <c:manualLayout>
                  <c:x val="6.9803979981097964E-3"/>
                  <c:y val="-0.380702877121497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563-4431-945B-7EF72206CEF2}"/>
                </c:ext>
              </c:extLst>
            </c:dLbl>
            <c:dLbl>
              <c:idx val="6"/>
              <c:layout>
                <c:manualLayout>
                  <c:x val="4.6535986654065312E-3"/>
                  <c:y val="-0.370224816283291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563-4431-945B-7EF72206CEF2}"/>
                </c:ext>
              </c:extLst>
            </c:dLbl>
            <c:dLbl>
              <c:idx val="7"/>
              <c:layout>
                <c:manualLayout>
                  <c:x val="5.8169983317581638E-3"/>
                  <c:y val="-0.34577600766081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563-4431-945B-7EF72206CEF2}"/>
                </c:ext>
              </c:extLst>
            </c:dLbl>
            <c:dLbl>
              <c:idx val="8"/>
              <c:layout>
                <c:manualLayout>
                  <c:x val="8.1437976644614281E-3"/>
                  <c:y val="-0.356254068499016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63-4431-945B-7EF72206CEF2}"/>
                </c:ext>
              </c:extLst>
            </c:dLbl>
            <c:dLbl>
              <c:idx val="9"/>
              <c:layout>
                <c:manualLayout>
                  <c:x val="2.3267993327031802E-3"/>
                  <c:y val="-0.338790633768672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63-4431-945B-7EF72206CEF2}"/>
                </c:ext>
              </c:extLst>
            </c:dLbl>
            <c:dLbl>
              <c:idx val="10"/>
              <c:layout>
                <c:manualLayout>
                  <c:x val="1.1633996663516328E-3"/>
                  <c:y val="-0.300371077361915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563-4431-945B-7EF72206CEF2}"/>
                </c:ext>
              </c:extLst>
            </c:dLbl>
            <c:dLbl>
              <c:idx val="11"/>
              <c:layout>
                <c:manualLayout>
                  <c:x val="8.1437976644612581E-3"/>
                  <c:y val="-0.310849138200122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63-4431-945B-7EF72206CEF2}"/>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Pivot_Tables!$I$56:$I$68</c:f>
              <c:strCache>
                <c:ptCount val="12"/>
                <c:pt idx="0">
                  <c:v>Sialkot</c:v>
                </c:pt>
                <c:pt idx="1">
                  <c:v>Quetta</c:v>
                </c:pt>
                <c:pt idx="2">
                  <c:v>Hyderabad</c:v>
                </c:pt>
                <c:pt idx="3">
                  <c:v>Islamabad</c:v>
                </c:pt>
                <c:pt idx="4">
                  <c:v>Lahore</c:v>
                </c:pt>
                <c:pt idx="5">
                  <c:v>Rawalpindi</c:v>
                </c:pt>
                <c:pt idx="6">
                  <c:v>Sukkur</c:v>
                </c:pt>
                <c:pt idx="7">
                  <c:v>Multan</c:v>
                </c:pt>
                <c:pt idx="8">
                  <c:v>Peshawar</c:v>
                </c:pt>
                <c:pt idx="9">
                  <c:v>Karachi</c:v>
                </c:pt>
                <c:pt idx="10">
                  <c:v>Bahawalpur</c:v>
                </c:pt>
                <c:pt idx="11">
                  <c:v>Faisalabad</c:v>
                </c:pt>
              </c:strCache>
            </c:strRef>
          </c:cat>
          <c:val>
            <c:numRef>
              <c:f>Pivot_Tables!$J$56:$J$68</c:f>
              <c:numCache>
                <c:formatCode>General</c:formatCode>
                <c:ptCount val="12"/>
                <c:pt idx="0">
                  <c:v>28</c:v>
                </c:pt>
                <c:pt idx="1">
                  <c:v>26</c:v>
                </c:pt>
                <c:pt idx="2">
                  <c:v>26</c:v>
                </c:pt>
                <c:pt idx="3">
                  <c:v>25</c:v>
                </c:pt>
                <c:pt idx="4">
                  <c:v>22</c:v>
                </c:pt>
                <c:pt idx="5">
                  <c:v>21</c:v>
                </c:pt>
                <c:pt idx="6">
                  <c:v>21</c:v>
                </c:pt>
                <c:pt idx="7">
                  <c:v>18</c:v>
                </c:pt>
                <c:pt idx="8">
                  <c:v>16</c:v>
                </c:pt>
                <c:pt idx="9">
                  <c:v>15</c:v>
                </c:pt>
                <c:pt idx="10">
                  <c:v>12</c:v>
                </c:pt>
                <c:pt idx="11">
                  <c:v>10</c:v>
                </c:pt>
              </c:numCache>
            </c:numRef>
          </c:val>
          <c:shape val="pyramidToMax"/>
          <c:extLst>
            <c:ext xmlns:c16="http://schemas.microsoft.com/office/drawing/2014/chart" uri="{C3380CC4-5D6E-409C-BE32-E72D297353CC}">
              <c16:uniqueId val="{00000000-2563-4431-945B-7EF72206CEF2}"/>
            </c:ext>
          </c:extLst>
        </c:ser>
        <c:dLbls>
          <c:showLegendKey val="0"/>
          <c:showVal val="1"/>
          <c:showCatName val="0"/>
          <c:showSerName val="0"/>
          <c:showPercent val="0"/>
          <c:showBubbleSize val="0"/>
        </c:dLbls>
        <c:gapWidth val="150"/>
        <c:shape val="pyramidToMax"/>
        <c:axId val="2058524079"/>
        <c:axId val="2058531279"/>
        <c:axId val="0"/>
      </c:bar3DChart>
      <c:catAx>
        <c:axId val="20585240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531279"/>
        <c:crosses val="autoZero"/>
        <c:auto val="1"/>
        <c:lblAlgn val="ctr"/>
        <c:lblOffset val="100"/>
        <c:noMultiLvlLbl val="0"/>
      </c:catAx>
      <c:valAx>
        <c:axId val="2058531279"/>
        <c:scaling>
          <c:orientation val="minMax"/>
        </c:scaling>
        <c:delete val="1"/>
        <c:axPos val="l"/>
        <c:numFmt formatCode="General" sourceLinked="1"/>
        <c:majorTickMark val="none"/>
        <c:minorTickMark val="none"/>
        <c:tickLblPos val="nextTo"/>
        <c:crossAx val="2058524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 Customer Segment Value</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0.18055555555555555"/>
              <c:y val="-2.31481481481481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0.34861122047244092"/>
              <c:y val="-2.959499854184902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7639982502187"/>
                  <c:h val="3.3333333333333333E-2"/>
                </c:manualLayout>
              </c15:layout>
            </c:ext>
          </c:extLst>
        </c:dLbl>
      </c:pivotFmt>
      <c:pivotFmt>
        <c:idx val="3"/>
        <c:spPr>
          <a:solidFill>
            <a:schemeClr val="accent1"/>
          </a:solidFill>
          <a:ln>
            <a:noFill/>
          </a:ln>
          <a:effectLst/>
          <a:sp3d/>
        </c:spPr>
        <c:dLbl>
          <c:idx val="0"/>
          <c:layout>
            <c:manualLayout>
              <c:x val="0.27083333333333331"/>
              <c:y val="0.101851669582968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265288713910762"/>
                  <c:h val="6.4745552639253412E-2"/>
                </c:manualLayout>
              </c15:layout>
            </c:ext>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27083333333333331"/>
              <c:y val="0.101851669582968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265288713910762"/>
                  <c:h val="6.4745552639253412E-2"/>
                </c:manualLayout>
              </c15:layout>
            </c:ext>
          </c:extLst>
        </c:dLbl>
      </c:pivotFmt>
      <c:pivotFmt>
        <c:idx val="6"/>
        <c:spPr>
          <a:solidFill>
            <a:schemeClr val="accent1"/>
          </a:solidFill>
          <a:ln>
            <a:noFill/>
          </a:ln>
          <a:effectLst/>
          <a:sp3d/>
        </c:spPr>
        <c:dLbl>
          <c:idx val="0"/>
          <c:layout>
            <c:manualLayout>
              <c:x val="0.34861122047244092"/>
              <c:y val="-2.959499854184902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7639982502187"/>
                  <c:h val="3.3333333333333333E-2"/>
                </c:manualLayout>
              </c15:layout>
            </c:ext>
          </c:extLst>
        </c:dLbl>
      </c:pivotFmt>
      <c:pivotFmt>
        <c:idx val="7"/>
        <c:spPr>
          <a:solidFill>
            <a:schemeClr val="accent1"/>
          </a:solidFill>
          <a:ln>
            <a:noFill/>
          </a:ln>
          <a:effectLst/>
          <a:sp3d/>
        </c:spPr>
        <c:dLbl>
          <c:idx val="0"/>
          <c:layout>
            <c:manualLayout>
              <c:x val="0.18055555555555555"/>
              <c:y val="-2.31481481481481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790D0D"/>
              </a:gs>
              <a:gs pos="100000">
                <a:srgbClr val="FF0000"/>
              </a:gs>
            </a:gsLst>
            <a:path path="circle">
              <a:fillToRect l="100000" t="10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790D0D"/>
              </a:gs>
              <a:gs pos="100000">
                <a:srgbClr val="FF0000"/>
              </a:gs>
            </a:gsLst>
            <a:path path="circle">
              <a:fillToRect l="100000" t="100000"/>
            </a:path>
          </a:gradFill>
          <a:ln>
            <a:noFill/>
          </a:ln>
          <a:effectLst/>
          <a:sp3d/>
        </c:spPr>
        <c:dLbl>
          <c:idx val="0"/>
          <c:layout>
            <c:manualLayout>
              <c:x val="0.31414689839806303"/>
              <c:y val="0.10185174774855807"/>
            </c:manualLayout>
          </c:layout>
          <c:spPr>
            <a:noFill/>
            <a:ln>
              <a:noFill/>
            </a:ln>
            <a:effectLst/>
          </c:spPr>
          <c:txPr>
            <a:bodyPr rot="0" spcFirstLastPara="1" vertOverflow="ellipsis" vert="horz" wrap="square" lIns="38100" tIns="19050" rIns="38100" bIns="19050" anchor="ctr" anchorCtr="1">
              <a:noAutofit/>
            </a:bodyPr>
            <a:lstStyle/>
            <a:p>
              <a:pPr>
                <a:defRPr sz="20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957708263650334"/>
                  <c:h val="0.12332531033271957"/>
                </c:manualLayout>
              </c15:layout>
            </c:ext>
          </c:extLst>
        </c:dLbl>
      </c:pivotFmt>
      <c:pivotFmt>
        <c:idx val="10"/>
        <c:spPr>
          <a:gradFill>
            <a:gsLst>
              <a:gs pos="0">
                <a:srgbClr val="790D0D"/>
              </a:gs>
              <a:gs pos="100000">
                <a:srgbClr val="FF0000"/>
              </a:gs>
            </a:gsLst>
            <a:path path="circle">
              <a:fillToRect l="100000" t="100000"/>
            </a:path>
          </a:gradFill>
          <a:ln>
            <a:noFill/>
          </a:ln>
          <a:effectLst/>
          <a:sp3d/>
        </c:spPr>
        <c:dLbl>
          <c:idx val="0"/>
          <c:layout>
            <c:manualLayout>
              <c:x val="0.23993368224750633"/>
              <c:y val="-2.1356230164119032E-3"/>
            </c:manualLayout>
          </c:layout>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76395473764403"/>
                  <c:h val="0.11021925018529585"/>
                </c:manualLayout>
              </c15:layout>
            </c:ext>
          </c:extLst>
        </c:dLbl>
      </c:pivotFmt>
      <c:pivotFmt>
        <c:idx val="11"/>
        <c:spPr>
          <a:gradFill>
            <a:gsLst>
              <a:gs pos="0">
                <a:srgbClr val="790D0D"/>
              </a:gs>
              <a:gs pos="100000">
                <a:srgbClr val="FF0000"/>
              </a:gs>
            </a:gsLst>
            <a:path path="circle">
              <a:fillToRect l="100000" t="100000"/>
            </a:path>
          </a:gradFill>
          <a:ln>
            <a:noFill/>
          </a:ln>
          <a:effectLst/>
          <a:sp3d/>
        </c:spPr>
        <c:dLbl>
          <c:idx val="0"/>
          <c:layout>
            <c:manualLayout>
              <c:x val="0.12542927518146724"/>
              <c:y val="-2.4978832597194918E-2"/>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22341854781311E-2"/>
                  <c:h val="0.1226697478679085"/>
                </c:manualLayout>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Pivot_Tables!$B$33</c:f>
              <c:strCache>
                <c:ptCount val="1"/>
                <c:pt idx="0">
                  <c:v>Total</c:v>
                </c:pt>
              </c:strCache>
            </c:strRef>
          </c:tx>
          <c:spPr>
            <a:gradFill>
              <a:gsLst>
                <a:gs pos="0">
                  <a:srgbClr val="790D0D"/>
                </a:gs>
                <a:gs pos="100000">
                  <a:srgbClr val="FF0000"/>
                </a:gs>
              </a:gsLst>
              <a:path path="circle">
                <a:fillToRect l="100000" t="100000"/>
              </a:path>
            </a:gradFill>
            <a:ln>
              <a:noFill/>
            </a:ln>
            <a:effectLst/>
            <a:sp3d/>
          </c:spPr>
          <c:invertIfNegative val="0"/>
          <c:dPt>
            <c:idx val="0"/>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0-EF55-47A4-AE24-20A38446C558}"/>
              </c:ext>
            </c:extLst>
          </c:dPt>
          <c:dPt>
            <c:idx val="1"/>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1-EF55-47A4-AE24-20A38446C558}"/>
              </c:ext>
            </c:extLst>
          </c:dPt>
          <c:dPt>
            <c:idx val="2"/>
            <c:invertIfNegative val="0"/>
            <c:bubble3D val="0"/>
            <c:spPr>
              <a:gradFill>
                <a:gsLst>
                  <a:gs pos="0">
                    <a:srgbClr val="790D0D"/>
                  </a:gs>
                  <a:gs pos="100000">
                    <a:srgbClr val="FF0000"/>
                  </a:gs>
                </a:gsLst>
                <a:path path="circle">
                  <a:fillToRect l="100000" t="100000"/>
                </a:path>
              </a:gradFill>
              <a:ln>
                <a:noFill/>
              </a:ln>
              <a:effectLst/>
              <a:sp3d/>
            </c:spPr>
            <c:extLst>
              <c:ext xmlns:c16="http://schemas.microsoft.com/office/drawing/2014/chart" uri="{C3380CC4-5D6E-409C-BE32-E72D297353CC}">
                <c16:uniqueId val="{00000002-EF55-47A4-AE24-20A38446C558}"/>
              </c:ext>
            </c:extLst>
          </c:dPt>
          <c:dLbls>
            <c:dLbl>
              <c:idx val="0"/>
              <c:layout>
                <c:manualLayout>
                  <c:x val="0.31414689839806303"/>
                  <c:y val="0.10185174774855807"/>
                </c:manualLayout>
              </c:layout>
              <c:spPr>
                <a:noFill/>
                <a:ln>
                  <a:noFill/>
                </a:ln>
                <a:effectLst/>
              </c:spPr>
              <c:txPr>
                <a:bodyPr rot="0" spcFirstLastPara="1" vertOverflow="ellipsis" vert="horz" wrap="square" lIns="38100" tIns="19050" rIns="38100" bIns="19050" anchor="ctr" anchorCtr="1">
                  <a:noAutofit/>
                </a:bodyPr>
                <a:lstStyle/>
                <a:p>
                  <a:pPr>
                    <a:defRPr sz="20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957708263650334"/>
                      <c:h val="0.12332531033271957"/>
                    </c:manualLayout>
                  </c15:layout>
                </c:ext>
                <c:ext xmlns:c16="http://schemas.microsoft.com/office/drawing/2014/chart" uri="{C3380CC4-5D6E-409C-BE32-E72D297353CC}">
                  <c16:uniqueId val="{00000000-EF55-47A4-AE24-20A38446C558}"/>
                </c:ext>
              </c:extLst>
            </c:dLbl>
            <c:dLbl>
              <c:idx val="1"/>
              <c:layout>
                <c:manualLayout>
                  <c:x val="0.23993368224750633"/>
                  <c:y val="-2.1356230164119032E-3"/>
                </c:manualLayout>
              </c:layout>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76395473764403"/>
                      <c:h val="0.11021925018529585"/>
                    </c:manualLayout>
                  </c15:layout>
                </c:ext>
                <c:ext xmlns:c16="http://schemas.microsoft.com/office/drawing/2014/chart" uri="{C3380CC4-5D6E-409C-BE32-E72D297353CC}">
                  <c16:uniqueId val="{00000001-EF55-47A4-AE24-20A38446C558}"/>
                </c:ext>
              </c:extLst>
            </c:dLbl>
            <c:dLbl>
              <c:idx val="2"/>
              <c:layout>
                <c:manualLayout>
                  <c:x val="0.12542927518146724"/>
                  <c:y val="-2.4978832597194918E-2"/>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22341854781311E-2"/>
                      <c:h val="0.1226697478679085"/>
                    </c:manualLayout>
                  </c15:layout>
                </c:ext>
                <c:ext xmlns:c16="http://schemas.microsoft.com/office/drawing/2014/chart" uri="{C3380CC4-5D6E-409C-BE32-E72D297353CC}">
                  <c16:uniqueId val="{00000002-EF55-47A4-AE24-20A38446C558}"/>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Pivot_Tables!$A$34:$A$37</c:f>
              <c:strCache>
                <c:ptCount val="3"/>
                <c:pt idx="0">
                  <c:v>Consumer</c:v>
                </c:pt>
                <c:pt idx="1">
                  <c:v>Corporate</c:v>
                </c:pt>
                <c:pt idx="2">
                  <c:v>Small Business</c:v>
                </c:pt>
              </c:strCache>
            </c:strRef>
          </c:cat>
          <c:val>
            <c:numRef>
              <c:f>Pivot_Tables!$B$34:$B$37</c:f>
              <c:numCache>
                <c:formatCode>"$"#,##0,"K"</c:formatCode>
                <c:ptCount val="3"/>
                <c:pt idx="0">
                  <c:v>59668.572999999975</c:v>
                </c:pt>
                <c:pt idx="1">
                  <c:v>31457.201500000003</c:v>
                </c:pt>
                <c:pt idx="2">
                  <c:v>10969.535499999998</c:v>
                </c:pt>
              </c:numCache>
            </c:numRef>
          </c:val>
          <c:extLst>
            <c:ext xmlns:c16="http://schemas.microsoft.com/office/drawing/2014/chart" uri="{C3380CC4-5D6E-409C-BE32-E72D297353CC}">
              <c16:uniqueId val="{00000003-EF55-47A4-AE24-20A38446C558}"/>
            </c:ext>
          </c:extLst>
        </c:ser>
        <c:dLbls>
          <c:showLegendKey val="0"/>
          <c:showVal val="1"/>
          <c:showCatName val="0"/>
          <c:showSerName val="0"/>
          <c:showPercent val="0"/>
          <c:showBubbleSize val="0"/>
        </c:dLbls>
        <c:gapWidth val="150"/>
        <c:shape val="box"/>
        <c:axId val="127083935"/>
        <c:axId val="127095455"/>
        <c:axId val="0"/>
      </c:bar3DChart>
      <c:catAx>
        <c:axId val="12708393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crossAx val="127095455"/>
        <c:crosses val="autoZero"/>
        <c:auto val="1"/>
        <c:lblAlgn val="ctr"/>
        <c:lblOffset val="100"/>
        <c:noMultiLvlLbl val="0"/>
      </c:catAx>
      <c:valAx>
        <c:axId val="127095455"/>
        <c:scaling>
          <c:orientation val="minMax"/>
        </c:scaling>
        <c:delete val="1"/>
        <c:axPos val="b"/>
        <c:numFmt formatCode="&quot;$&quot;#,##0,&quot;K&quot;" sourceLinked="1"/>
        <c:majorTickMark val="out"/>
        <c:minorTickMark val="none"/>
        <c:tickLblPos val="nextTo"/>
        <c:crossAx val="127083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.xlsm]Pivot_Tables!Highest Revenue Month</c:name>
    <c:fmtId val="7"/>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75162D"/>
              </a:gs>
              <a:gs pos="100000">
                <a:srgbClr val="C21A03"/>
              </a:gs>
            </a:gsLst>
            <a:path path="circle">
              <a:fillToRect l="100000" t="100000"/>
            </a:path>
            <a:tileRect r="-100000" b="-10000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5.6704681127699837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6.048499320287982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5.1005538598174084E-17"/>
              <c:y val="-7.1825929428419796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2.7821524264640459E-3"/>
              <c:y val="-6.048499320287982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6.426530527805987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6.8045617353239801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1.3910762132320483E-3"/>
              <c:y val="-7.5606241503599847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7.5606241503599778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3.7803120751799889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2.7821524264639947E-3"/>
              <c:y val="-4.536374490215986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0"/>
              <c:y val="-4.5363744902159865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rgbClr val="75162D"/>
              </a:gs>
              <a:gs pos="100000">
                <a:srgbClr val="C21A03"/>
              </a:gs>
            </a:gsLst>
            <a:path path="circle">
              <a:fillToRect l="100000" t="100000"/>
            </a:path>
            <a:tileRect r="-100000" b="-100000"/>
          </a:gradFill>
          <a:ln>
            <a:noFill/>
          </a:ln>
          <a:effectLst/>
          <a:sp3d/>
        </c:spPr>
        <c:dLbl>
          <c:idx val="0"/>
          <c:layout>
            <c:manualLayout>
              <c:x val="-1.2751384649543521E-17"/>
              <c:y val="-3.4022808676619908E-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Pivot_Tables!$J$8</c:f>
              <c:strCache>
                <c:ptCount val="1"/>
                <c:pt idx="0">
                  <c:v>Total</c:v>
                </c:pt>
              </c:strCache>
            </c:strRef>
          </c:tx>
          <c:spPr>
            <a:gradFill flip="none" rotWithShape="1">
              <a:gsLst>
                <a:gs pos="0">
                  <a:srgbClr val="75162D"/>
                </a:gs>
                <a:gs pos="100000">
                  <a:srgbClr val="C21A03"/>
                </a:gs>
              </a:gsLst>
              <a:path path="circle">
                <a:fillToRect l="100000" t="100000"/>
              </a:path>
              <a:tileRect r="-100000" b="-100000"/>
            </a:gradFill>
            <a:ln>
              <a:noFill/>
            </a:ln>
            <a:effectLst/>
            <a:sp3d/>
          </c:spPr>
          <c:invertIfNegative val="0"/>
          <c:dPt>
            <c:idx val="0"/>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C-8733-4EBC-B73D-C1E6EEB8E47F}"/>
              </c:ext>
            </c:extLst>
          </c:dPt>
          <c:dPt>
            <c:idx val="1"/>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B-8733-4EBC-B73D-C1E6EEB8E47F}"/>
              </c:ext>
            </c:extLst>
          </c:dPt>
          <c:dPt>
            <c:idx val="2"/>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1-8733-4EBC-B73D-C1E6EEB8E47F}"/>
              </c:ext>
            </c:extLst>
          </c:dPt>
          <c:dPt>
            <c:idx val="3"/>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2-8733-4EBC-B73D-C1E6EEB8E47F}"/>
              </c:ext>
            </c:extLst>
          </c:dPt>
          <c:dPt>
            <c:idx val="4"/>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3-8733-4EBC-B73D-C1E6EEB8E47F}"/>
              </c:ext>
            </c:extLst>
          </c:dPt>
          <c:dPt>
            <c:idx val="5"/>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4-8733-4EBC-B73D-C1E6EEB8E47F}"/>
              </c:ext>
            </c:extLst>
          </c:dPt>
          <c:dPt>
            <c:idx val="6"/>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5-8733-4EBC-B73D-C1E6EEB8E47F}"/>
              </c:ext>
            </c:extLst>
          </c:dPt>
          <c:dPt>
            <c:idx val="7"/>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6-8733-4EBC-B73D-C1E6EEB8E47F}"/>
              </c:ext>
            </c:extLst>
          </c:dPt>
          <c:dPt>
            <c:idx val="8"/>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7-8733-4EBC-B73D-C1E6EEB8E47F}"/>
              </c:ext>
            </c:extLst>
          </c:dPt>
          <c:dPt>
            <c:idx val="9"/>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8-8733-4EBC-B73D-C1E6EEB8E47F}"/>
              </c:ext>
            </c:extLst>
          </c:dPt>
          <c:dPt>
            <c:idx val="10"/>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9-8733-4EBC-B73D-C1E6EEB8E47F}"/>
              </c:ext>
            </c:extLst>
          </c:dPt>
          <c:dPt>
            <c:idx val="11"/>
            <c:invertIfNegative val="0"/>
            <c:bubble3D val="0"/>
            <c:spPr>
              <a:gradFill flip="none" rotWithShape="1">
                <a:gsLst>
                  <a:gs pos="0">
                    <a:srgbClr val="75162D"/>
                  </a:gs>
                  <a:gs pos="100000">
                    <a:srgbClr val="C21A03"/>
                  </a:gs>
                </a:gsLst>
                <a:path path="circle">
                  <a:fillToRect l="100000" t="100000"/>
                </a:path>
                <a:tileRect r="-100000" b="-100000"/>
              </a:gradFill>
              <a:ln>
                <a:noFill/>
              </a:ln>
              <a:effectLst/>
              <a:sp3d/>
            </c:spPr>
            <c:extLst>
              <c:ext xmlns:c16="http://schemas.microsoft.com/office/drawing/2014/chart" uri="{C3380CC4-5D6E-409C-BE32-E72D297353CC}">
                <c16:uniqueId val="{0000000A-8733-4EBC-B73D-C1E6EEB8E47F}"/>
              </c:ext>
            </c:extLst>
          </c:dPt>
          <c:dLbls>
            <c:dLbl>
              <c:idx val="0"/>
              <c:layout>
                <c:manualLayout>
                  <c:x val="-1.2751384649543521E-17"/>
                  <c:y val="-3.40228086766199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733-4EBC-B73D-C1E6EEB8E47F}"/>
                </c:ext>
              </c:extLst>
            </c:dLbl>
            <c:dLbl>
              <c:idx val="1"/>
              <c:layout>
                <c:manualLayout>
                  <c:x val="0"/>
                  <c:y val="-4.5363744902159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733-4EBC-B73D-C1E6EEB8E47F}"/>
                </c:ext>
              </c:extLst>
            </c:dLbl>
            <c:dLbl>
              <c:idx val="2"/>
              <c:layout>
                <c:manualLayout>
                  <c:x val="0"/>
                  <c:y val="-5.67046811276998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733-4EBC-B73D-C1E6EEB8E47F}"/>
                </c:ext>
              </c:extLst>
            </c:dLbl>
            <c:dLbl>
              <c:idx val="3"/>
              <c:layout>
                <c:manualLayout>
                  <c:x val="0"/>
                  <c:y val="-6.04849932028798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733-4EBC-B73D-C1E6EEB8E47F}"/>
                </c:ext>
              </c:extLst>
            </c:dLbl>
            <c:dLbl>
              <c:idx val="4"/>
              <c:layout>
                <c:manualLayout>
                  <c:x val="-5.1005538598174084E-17"/>
                  <c:y val="-7.18259294284197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733-4EBC-B73D-C1E6EEB8E47F}"/>
                </c:ext>
              </c:extLst>
            </c:dLbl>
            <c:dLbl>
              <c:idx val="5"/>
              <c:layout>
                <c:manualLayout>
                  <c:x val="2.7821524264640459E-3"/>
                  <c:y val="-6.04849932028798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733-4EBC-B73D-C1E6EEB8E47F}"/>
                </c:ext>
              </c:extLst>
            </c:dLbl>
            <c:dLbl>
              <c:idx val="6"/>
              <c:layout>
                <c:manualLayout>
                  <c:x val="0"/>
                  <c:y val="-6.4265305278059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733-4EBC-B73D-C1E6EEB8E47F}"/>
                </c:ext>
              </c:extLst>
            </c:dLbl>
            <c:dLbl>
              <c:idx val="7"/>
              <c:layout>
                <c:manualLayout>
                  <c:x val="0"/>
                  <c:y val="-6.80456173532398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733-4EBC-B73D-C1E6EEB8E47F}"/>
                </c:ext>
              </c:extLst>
            </c:dLbl>
            <c:dLbl>
              <c:idx val="8"/>
              <c:layout>
                <c:manualLayout>
                  <c:x val="1.3910762132320483E-3"/>
                  <c:y val="-7.56062415035998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733-4EBC-B73D-C1E6EEB8E47F}"/>
                </c:ext>
              </c:extLst>
            </c:dLbl>
            <c:dLbl>
              <c:idx val="9"/>
              <c:layout>
                <c:manualLayout>
                  <c:x val="0"/>
                  <c:y val="-7.56062415035997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733-4EBC-B73D-C1E6EEB8E47F}"/>
                </c:ext>
              </c:extLst>
            </c:dLbl>
            <c:dLbl>
              <c:idx val="10"/>
              <c:layout>
                <c:manualLayout>
                  <c:x val="0"/>
                  <c:y val="-3.78031207517998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733-4EBC-B73D-C1E6EEB8E47F}"/>
                </c:ext>
              </c:extLst>
            </c:dLbl>
            <c:dLbl>
              <c:idx val="11"/>
              <c:layout>
                <c:manualLayout>
                  <c:x val="2.7821524264639947E-3"/>
                  <c:y val="-4.5363744902159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733-4EBC-B73D-C1E6EEB8E47F}"/>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Pivot_Tables!$I$9:$I$21</c:f>
              <c:strCache>
                <c:ptCount val="12"/>
                <c:pt idx="0">
                  <c:v>May</c:v>
                </c:pt>
                <c:pt idx="1">
                  <c:v>Apr</c:v>
                </c:pt>
                <c:pt idx="2">
                  <c:v>Jul</c:v>
                </c:pt>
                <c:pt idx="3">
                  <c:v>Mar</c:v>
                </c:pt>
                <c:pt idx="4">
                  <c:v>Nov</c:v>
                </c:pt>
                <c:pt idx="5">
                  <c:v>Oct</c:v>
                </c:pt>
                <c:pt idx="6">
                  <c:v>Feb</c:v>
                </c:pt>
                <c:pt idx="7">
                  <c:v>Aug</c:v>
                </c:pt>
                <c:pt idx="8">
                  <c:v>Dec</c:v>
                </c:pt>
                <c:pt idx="9">
                  <c:v>Jan</c:v>
                </c:pt>
                <c:pt idx="10">
                  <c:v>Sep</c:v>
                </c:pt>
                <c:pt idx="11">
                  <c:v>Jun</c:v>
                </c:pt>
              </c:strCache>
            </c:strRef>
          </c:cat>
          <c:val>
            <c:numRef>
              <c:f>Pivot_Tables!$J$9:$J$21</c:f>
              <c:numCache>
                <c:formatCode>"$"#,##0,"K"</c:formatCode>
                <c:ptCount val="12"/>
                <c:pt idx="0">
                  <c:v>16175.435999999998</c:v>
                </c:pt>
                <c:pt idx="1">
                  <c:v>11856.366499999998</c:v>
                </c:pt>
                <c:pt idx="2">
                  <c:v>9804.2159999999985</c:v>
                </c:pt>
                <c:pt idx="3">
                  <c:v>9602.8790000000008</c:v>
                </c:pt>
                <c:pt idx="4">
                  <c:v>8420.468499999999</c:v>
                </c:pt>
                <c:pt idx="5">
                  <c:v>7724.7850000000017</c:v>
                </c:pt>
                <c:pt idx="6">
                  <c:v>7173.5429999999997</c:v>
                </c:pt>
                <c:pt idx="7">
                  <c:v>6982.2564999999995</c:v>
                </c:pt>
                <c:pt idx="8">
                  <c:v>6817.3804999999984</c:v>
                </c:pt>
                <c:pt idx="9">
                  <c:v>6360.7314999999999</c:v>
                </c:pt>
                <c:pt idx="10">
                  <c:v>5721.6510000000007</c:v>
                </c:pt>
                <c:pt idx="11">
                  <c:v>5455.5964999999997</c:v>
                </c:pt>
              </c:numCache>
            </c:numRef>
          </c:val>
          <c:shape val="cylinder"/>
          <c:extLst>
            <c:ext xmlns:c16="http://schemas.microsoft.com/office/drawing/2014/chart" uri="{C3380CC4-5D6E-409C-BE32-E72D297353CC}">
              <c16:uniqueId val="{00000000-8733-4EBC-B73D-C1E6EEB8E47F}"/>
            </c:ext>
          </c:extLst>
        </c:ser>
        <c:dLbls>
          <c:showLegendKey val="0"/>
          <c:showVal val="1"/>
          <c:showCatName val="0"/>
          <c:showSerName val="0"/>
          <c:showPercent val="0"/>
          <c:showBubbleSize val="0"/>
        </c:dLbls>
        <c:gapWidth val="150"/>
        <c:shape val="box"/>
        <c:axId val="2058583119"/>
        <c:axId val="2058582639"/>
        <c:axId val="0"/>
      </c:bar3DChart>
      <c:catAx>
        <c:axId val="20585831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crossAx val="2058582639"/>
        <c:crosses val="autoZero"/>
        <c:auto val="1"/>
        <c:lblAlgn val="ctr"/>
        <c:lblOffset val="100"/>
        <c:noMultiLvlLbl val="0"/>
      </c:catAx>
      <c:valAx>
        <c:axId val="2058582639"/>
        <c:scaling>
          <c:orientation val="minMax"/>
        </c:scaling>
        <c:delete val="1"/>
        <c:axPos val="l"/>
        <c:numFmt formatCode="&quot;$&quot;#,##0,&quot;K&quot;" sourceLinked="1"/>
        <c:majorTickMark val="none"/>
        <c:minorTickMark val="none"/>
        <c:tickLblPos val="nextTo"/>
        <c:crossAx val="2058583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 Region Profit Analysis</c:name>
    <c:fmtId val="15"/>
  </c:pivotSource>
  <c:chart>
    <c:autoTitleDeleted val="1"/>
    <c:pivotFmts>
      <c:pivotFmt>
        <c:idx val="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75162D"/>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rgbClr val="C21A0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F2D9A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D922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Pivot_Tables!$B$24</c:f>
              <c:strCache>
                <c:ptCount val="1"/>
                <c:pt idx="0">
                  <c:v>Total</c:v>
                </c:pt>
              </c:strCache>
            </c:strRef>
          </c:tx>
          <c:dPt>
            <c:idx val="0"/>
            <c:bubble3D val="0"/>
            <c:spPr>
              <a:solidFill>
                <a:srgbClr val="75162D"/>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CC68-4B9B-8293-7A9EF0B14092}"/>
              </c:ext>
            </c:extLst>
          </c:dPt>
          <c:dPt>
            <c:idx val="1"/>
            <c:bubble3D val="0"/>
            <c:spPr>
              <a:solidFill>
                <a:srgbClr val="C21A0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CC68-4B9B-8293-7A9EF0B14092}"/>
              </c:ext>
            </c:extLst>
          </c:dPt>
          <c:dPt>
            <c:idx val="2"/>
            <c:bubble3D val="0"/>
            <c:spPr>
              <a:solidFill>
                <a:srgbClr val="F2D9A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CC68-4B9B-8293-7A9EF0B14092}"/>
              </c:ext>
            </c:extLst>
          </c:dPt>
          <c:dPt>
            <c:idx val="3"/>
            <c:bubble3D val="0"/>
            <c:spPr>
              <a:solidFill>
                <a:srgbClr val="D922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CC68-4B9B-8293-7A9EF0B14092}"/>
              </c:ext>
            </c:extLst>
          </c:dPt>
          <c:dLbls>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C68-4B9B-8293-7A9EF0B14092}"/>
                </c:ext>
              </c:extLst>
            </c:dLbl>
            <c:dLbl>
              <c:idx val="1"/>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C68-4B9B-8293-7A9EF0B14092}"/>
                </c:ext>
              </c:extLst>
            </c:dLbl>
            <c:dLbl>
              <c:idx val="2"/>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C68-4B9B-8293-7A9EF0B14092}"/>
                </c:ext>
              </c:extLst>
            </c:dLbl>
            <c:dLbl>
              <c:idx val="3"/>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C68-4B9B-8293-7A9EF0B14092}"/>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rgbClr val="75162D"/>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Pivot_Tables!$A$25:$A$29</c:f>
              <c:strCache>
                <c:ptCount val="4"/>
                <c:pt idx="0">
                  <c:v>North</c:v>
                </c:pt>
                <c:pt idx="1">
                  <c:v>South</c:v>
                </c:pt>
                <c:pt idx="2">
                  <c:v>East</c:v>
                </c:pt>
                <c:pt idx="3">
                  <c:v>West</c:v>
                </c:pt>
              </c:strCache>
            </c:strRef>
          </c:cat>
          <c:val>
            <c:numRef>
              <c:f>Pivot_Tables!$B$25:$B$29</c:f>
              <c:numCache>
                <c:formatCode>"$"#,##0,"K"</c:formatCode>
                <c:ptCount val="4"/>
                <c:pt idx="0">
                  <c:v>11205.426500000003</c:v>
                </c:pt>
                <c:pt idx="1">
                  <c:v>9904.7519999999968</c:v>
                </c:pt>
                <c:pt idx="2">
                  <c:v>9070.4434999999958</c:v>
                </c:pt>
                <c:pt idx="3">
                  <c:v>8502.3979999999992</c:v>
                </c:pt>
              </c:numCache>
            </c:numRef>
          </c:val>
          <c:extLst>
            <c:ext xmlns:c16="http://schemas.microsoft.com/office/drawing/2014/chart" uri="{C3380CC4-5D6E-409C-BE32-E72D297353CC}">
              <c16:uniqueId val="{00000008-CC68-4B9B-8293-7A9EF0B14092}"/>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.xlsm]Pivot_Tables!Payment Method Usage</c:name>
    <c:fmtId val="1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C21A03"/>
          </a:solidFill>
          <a:ln>
            <a:noFill/>
          </a:ln>
          <a:effectLst>
            <a:outerShdw blurRad="317500" algn="ctr" rotWithShape="0">
              <a:prstClr val="black">
                <a:alpha val="25000"/>
              </a:prstClr>
            </a:outerShdw>
          </a:effectLst>
        </c:spPr>
        <c:dLbl>
          <c:idx val="0"/>
          <c:layout>
            <c:manualLayout>
              <c:x val="6.5020666882028524E-2"/>
              <c:y val="-5.270823579153789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D92200"/>
          </a:solidFill>
          <a:ln>
            <a:noFill/>
          </a:ln>
          <a:effectLst>
            <a:outerShdw blurRad="317500" algn="ctr" rotWithShape="0">
              <a:prstClr val="black">
                <a:alpha val="25000"/>
              </a:prstClr>
            </a:outerShdw>
          </a:effectLst>
        </c:spPr>
        <c:dLbl>
          <c:idx val="0"/>
          <c:layout>
            <c:manualLayout>
              <c:x val="0.13321307361196111"/>
              <c:y val="0.11529926579398901"/>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75162D"/>
          </a:solidFill>
          <a:ln>
            <a:noFill/>
          </a:ln>
          <a:effectLst>
            <a:outerShdw blurRad="317500" algn="ctr" rotWithShape="0">
              <a:prstClr val="black">
                <a:alpha val="25000"/>
              </a:prstClr>
            </a:outerShdw>
          </a:effectLst>
        </c:spPr>
        <c:dLbl>
          <c:idx val="0"/>
          <c:layout>
            <c:manualLayout>
              <c:x val="-0.11259676460058617"/>
              <c:y val="3.623691210668229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F2D9A0"/>
          </a:solidFill>
          <a:ln>
            <a:noFill/>
          </a:ln>
          <a:effectLst>
            <a:outerShdw blurRad="317500" algn="ctr" rotWithShape="0">
              <a:prstClr val="black">
                <a:alpha val="25000"/>
              </a:prstClr>
            </a:outerShdw>
          </a:effectLst>
        </c:spPr>
        <c:dLbl>
          <c:idx val="0"/>
          <c:layout>
            <c:manualLayout>
              <c:x val="-8.7222845817355427E-2"/>
              <c:y val="-4.9413971054566769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9098427953367434"/>
          <c:y val="0.10349827569883158"/>
          <c:w val="0.386314042453613"/>
          <c:h val="0.80247484880751507"/>
        </c:manualLayout>
      </c:layout>
      <c:doughnutChart>
        <c:varyColors val="1"/>
        <c:ser>
          <c:idx val="0"/>
          <c:order val="0"/>
          <c:tx>
            <c:strRef>
              <c:f>Pivot_Tables!$B$83</c:f>
              <c:strCache>
                <c:ptCount val="1"/>
                <c:pt idx="0">
                  <c:v>Total</c:v>
                </c:pt>
              </c:strCache>
            </c:strRef>
          </c:tx>
          <c:dPt>
            <c:idx val="0"/>
            <c:bubble3D val="0"/>
            <c:spPr>
              <a:solidFill>
                <a:srgbClr val="C21A0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AFC-45F6-BB63-190AA71D6EA2}"/>
              </c:ext>
            </c:extLst>
          </c:dPt>
          <c:dPt>
            <c:idx val="1"/>
            <c:bubble3D val="0"/>
            <c:spPr>
              <a:solidFill>
                <a:srgbClr val="D922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AFC-45F6-BB63-190AA71D6EA2}"/>
              </c:ext>
            </c:extLst>
          </c:dPt>
          <c:dPt>
            <c:idx val="2"/>
            <c:bubble3D val="0"/>
            <c:spPr>
              <a:solidFill>
                <a:srgbClr val="75162D"/>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AFC-45F6-BB63-190AA71D6EA2}"/>
              </c:ext>
            </c:extLst>
          </c:dPt>
          <c:dPt>
            <c:idx val="3"/>
            <c:bubble3D val="0"/>
            <c:spPr>
              <a:solidFill>
                <a:srgbClr val="F2D9A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AFC-45F6-BB63-190AA71D6EA2}"/>
              </c:ext>
            </c:extLst>
          </c:dPt>
          <c:dLbls>
            <c:dLbl>
              <c:idx val="0"/>
              <c:layout>
                <c:manualLayout>
                  <c:x val="6.5020666882028524E-2"/>
                  <c:y val="-5.27082357915378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AFC-45F6-BB63-190AA71D6EA2}"/>
                </c:ext>
              </c:extLst>
            </c:dLbl>
            <c:dLbl>
              <c:idx val="1"/>
              <c:layout>
                <c:manualLayout>
                  <c:x val="0.13321307361196111"/>
                  <c:y val="0.1152992657939890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AFC-45F6-BB63-190AA71D6EA2}"/>
                </c:ext>
              </c:extLst>
            </c:dLbl>
            <c:dLbl>
              <c:idx val="2"/>
              <c:layout>
                <c:manualLayout>
                  <c:x val="-0.11259676460058617"/>
                  <c:y val="3.6236912106682298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AFC-45F6-BB63-190AA71D6EA2}"/>
                </c:ext>
              </c:extLst>
            </c:dLbl>
            <c:dLbl>
              <c:idx val="3"/>
              <c:layout>
                <c:manualLayout>
                  <c:x val="-8.7222845817355427E-2"/>
                  <c:y val="-4.941397105456676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AFC-45F6-BB63-190AA71D6EA2}"/>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Pivot_Tables!$A$84:$A$88</c:f>
              <c:strCache>
                <c:ptCount val="4"/>
                <c:pt idx="0">
                  <c:v>Bank Transfer</c:v>
                </c:pt>
                <c:pt idx="1">
                  <c:v>Cash</c:v>
                </c:pt>
                <c:pt idx="2">
                  <c:v>Credit Card</c:v>
                </c:pt>
                <c:pt idx="3">
                  <c:v>Mobile Wallet</c:v>
                </c:pt>
              </c:strCache>
            </c:strRef>
          </c:cat>
          <c:val>
            <c:numRef>
              <c:f>Pivot_Tables!$B$84:$B$88</c:f>
              <c:numCache>
                <c:formatCode>"$"#,##0.00</c:formatCode>
                <c:ptCount val="4"/>
                <c:pt idx="0">
                  <c:v>28072.950999999994</c:v>
                </c:pt>
                <c:pt idx="1">
                  <c:v>17549.973499999989</c:v>
                </c:pt>
                <c:pt idx="2">
                  <c:v>30202.003000000008</c:v>
                </c:pt>
                <c:pt idx="3">
                  <c:v>26270.382500000003</c:v>
                </c:pt>
              </c:numCache>
            </c:numRef>
          </c:val>
          <c:extLst>
            <c:ext xmlns:c16="http://schemas.microsoft.com/office/drawing/2014/chart" uri="{C3380CC4-5D6E-409C-BE32-E72D297353CC}">
              <c16:uniqueId val="{00000008-AAFC-45F6-BB63-190AA71D6EA2}"/>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6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[Business_dashboard_dataset .xlsm]Pivot_Tables!PivotTable17</c:name>
    <c:fmtId val="6"/>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4.009433962264150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5943396226415096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4.009433962264150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2.3584905660377187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2.3584905660377187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4.009433962264150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2.5943396226415096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4.009433962264150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2.3584905660377187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4.009433962264150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2.5943396226415096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4.009433962264150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2.3584905660377187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4.009433962264150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dLbl>
          <c:idx val="0"/>
          <c:layout>
            <c:manualLayout>
              <c:x val="2.5943396226415096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dLbl>
          <c:idx val="0"/>
          <c:layout>
            <c:manualLayout>
              <c:x val="4.009433962264150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flip="none" rotWithShape="1">
            <a:gsLst>
              <a:gs pos="0">
                <a:srgbClr val="75162D"/>
              </a:gs>
              <a:gs pos="100000">
                <a:srgbClr val="FF0000"/>
              </a:gs>
            </a:gsLst>
            <a:path path="circle">
              <a:fillToRect l="100000" t="100000"/>
            </a:path>
            <a:tileRect r="-100000" b="-10000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flip="none" rotWithShape="1">
            <a:gsLst>
              <a:gs pos="0">
                <a:srgbClr val="75162D"/>
              </a:gs>
              <a:gs pos="100000">
                <a:srgbClr val="FF0000"/>
              </a:gs>
            </a:gsLst>
            <a:path path="circle">
              <a:fillToRect l="100000" t="100000"/>
            </a:path>
            <a:tileRect r="-100000" b="-100000"/>
          </a:gradFill>
          <a:ln>
            <a:noFill/>
          </a:ln>
          <a:effectLst/>
          <a:sp3d/>
        </c:spPr>
        <c:dLbl>
          <c:idx val="0"/>
          <c:layout>
            <c:manualLayout>
              <c:x val="2.3584905660377187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flip="none" rotWithShape="1">
            <a:gsLst>
              <a:gs pos="0">
                <a:srgbClr val="75162D"/>
              </a:gs>
              <a:gs pos="100000">
                <a:srgbClr val="FF0000"/>
              </a:gs>
            </a:gsLst>
            <a:path path="circle">
              <a:fillToRect l="100000" t="100000"/>
            </a:path>
            <a:tileRect r="-100000" b="-100000"/>
          </a:gradFill>
          <a:ln>
            <a:noFill/>
          </a:ln>
          <a:effectLst/>
          <a:sp3d/>
        </c:spPr>
        <c:dLbl>
          <c:idx val="0"/>
          <c:layout>
            <c:manualLayout>
              <c:x val="4.009433962264150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flip="none" rotWithShape="1">
            <a:gsLst>
              <a:gs pos="0">
                <a:srgbClr val="75162D"/>
              </a:gs>
              <a:gs pos="100000">
                <a:srgbClr val="FF0000"/>
              </a:gs>
            </a:gsLst>
            <a:path path="circle">
              <a:fillToRect l="100000" t="100000"/>
            </a:path>
            <a:tileRect r="-100000" b="-100000"/>
          </a:gradFill>
          <a:ln>
            <a:noFill/>
          </a:ln>
          <a:effectLst/>
          <a:sp3d/>
        </c:spPr>
        <c:dLbl>
          <c:idx val="0"/>
          <c:layout>
            <c:manualLayout>
              <c:x val="2.5943396226415096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flip="none" rotWithShape="1">
            <a:gsLst>
              <a:gs pos="0">
                <a:srgbClr val="75162D"/>
              </a:gs>
              <a:gs pos="100000">
                <a:srgbClr val="FF0000"/>
              </a:gs>
            </a:gsLst>
            <a:path path="circle">
              <a:fillToRect l="100000" t="100000"/>
            </a:path>
            <a:tileRect r="-100000" b="-100000"/>
          </a:gradFill>
          <a:ln>
            <a:noFill/>
          </a:ln>
          <a:effectLst/>
          <a:sp3d/>
        </c:spPr>
        <c:dLbl>
          <c:idx val="0"/>
          <c:layout>
            <c:manualLayout>
              <c:x val="4.0094339622641507E-2"/>
              <c:y val="0"/>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Pivot_Tables!$B$92</c:f>
              <c:strCache>
                <c:ptCount val="1"/>
                <c:pt idx="0">
                  <c:v>Total</c:v>
                </c:pt>
              </c:strCache>
            </c:strRef>
          </c:tx>
          <c:spPr>
            <a:gradFill flip="none" rotWithShape="1">
              <a:gsLst>
                <a:gs pos="0">
                  <a:srgbClr val="75162D"/>
                </a:gs>
                <a:gs pos="100000">
                  <a:srgbClr val="FF0000"/>
                </a:gs>
              </a:gsLst>
              <a:path path="circle">
                <a:fillToRect l="100000" t="100000"/>
              </a:path>
              <a:tileRect r="-100000" b="-100000"/>
            </a:gradFill>
            <a:ln>
              <a:noFill/>
            </a:ln>
            <a:effectLst/>
            <a:sp3d/>
          </c:spPr>
          <c:invertIfNegative val="0"/>
          <c:dPt>
            <c:idx val="0"/>
            <c:invertIfNegative val="0"/>
            <c:bubble3D val="0"/>
            <c:spPr>
              <a:gradFill flip="none" rotWithShape="1">
                <a:gsLst>
                  <a:gs pos="0">
                    <a:srgbClr val="75162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0-AFA0-4B3C-B54A-B566F97F2FBF}"/>
              </c:ext>
            </c:extLst>
          </c:dPt>
          <c:dPt>
            <c:idx val="1"/>
            <c:invertIfNegative val="0"/>
            <c:bubble3D val="0"/>
            <c:spPr>
              <a:gradFill flip="none" rotWithShape="1">
                <a:gsLst>
                  <a:gs pos="0">
                    <a:srgbClr val="75162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1-AFA0-4B3C-B54A-B566F97F2FBF}"/>
              </c:ext>
            </c:extLst>
          </c:dPt>
          <c:dPt>
            <c:idx val="2"/>
            <c:invertIfNegative val="0"/>
            <c:bubble3D val="0"/>
            <c:spPr>
              <a:gradFill flip="none" rotWithShape="1">
                <a:gsLst>
                  <a:gs pos="0">
                    <a:srgbClr val="75162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2-AFA0-4B3C-B54A-B566F97F2FBF}"/>
              </c:ext>
            </c:extLst>
          </c:dPt>
          <c:dPt>
            <c:idx val="3"/>
            <c:invertIfNegative val="0"/>
            <c:bubble3D val="0"/>
            <c:spPr>
              <a:gradFill flip="none" rotWithShape="1">
                <a:gsLst>
                  <a:gs pos="0">
                    <a:srgbClr val="75162D"/>
                  </a:gs>
                  <a:gs pos="100000">
                    <a:srgbClr val="FF0000"/>
                  </a:gs>
                </a:gsLst>
                <a:path path="circle">
                  <a:fillToRect l="100000" t="100000"/>
                </a:path>
                <a:tileRect r="-100000" b="-100000"/>
              </a:gradFill>
              <a:ln>
                <a:noFill/>
              </a:ln>
              <a:effectLst/>
              <a:sp3d/>
            </c:spPr>
            <c:extLst>
              <c:ext xmlns:c16="http://schemas.microsoft.com/office/drawing/2014/chart" uri="{C3380CC4-5D6E-409C-BE32-E72D297353CC}">
                <c16:uniqueId val="{00000003-AFA0-4B3C-B54A-B566F97F2FBF}"/>
              </c:ext>
            </c:extLst>
          </c:dPt>
          <c:dLbls>
            <c:dLbl>
              <c:idx val="0"/>
              <c:layout>
                <c:manualLayout>
                  <c:x val="2.3584905660377187E-2"/>
                  <c:y val="-4.62962962962954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A0-4B3C-B54A-B566F97F2FBF}"/>
                </c:ext>
              </c:extLst>
            </c:dLbl>
            <c:dLbl>
              <c:idx val="1"/>
              <c:layout>
                <c:manualLayout>
                  <c:x val="4.0094339622641507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A0-4B3C-B54A-B566F97F2FBF}"/>
                </c:ext>
              </c:extLst>
            </c:dLbl>
            <c:dLbl>
              <c:idx val="2"/>
              <c:layout>
                <c:manualLayout>
                  <c:x val="2.5943396226415096E-2"/>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FA0-4B3C-B54A-B566F97F2FBF}"/>
                </c:ext>
              </c:extLst>
            </c:dLbl>
            <c:dLbl>
              <c:idx val="3"/>
              <c:layout>
                <c:manualLayout>
                  <c:x val="4.009433962264150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A0-4B3C-B54A-B566F97F2FBF}"/>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Pivot_Tables!$A$93:$A$97</c:f>
              <c:strCache>
                <c:ptCount val="4"/>
                <c:pt idx="0">
                  <c:v>Technology</c:v>
                </c:pt>
                <c:pt idx="1">
                  <c:v>Office Supplies</c:v>
                </c:pt>
                <c:pt idx="2">
                  <c:v>Furniture</c:v>
                </c:pt>
                <c:pt idx="3">
                  <c:v>Accessories</c:v>
                </c:pt>
              </c:strCache>
            </c:strRef>
          </c:cat>
          <c:val>
            <c:numRef>
              <c:f>Pivot_Tables!$B$93:$B$97</c:f>
              <c:numCache>
                <c:formatCode>0.0</c:formatCode>
                <c:ptCount val="4"/>
                <c:pt idx="0">
                  <c:v>4.8</c:v>
                </c:pt>
                <c:pt idx="1">
                  <c:v>4.2857142857142856</c:v>
                </c:pt>
                <c:pt idx="2">
                  <c:v>4.25</c:v>
                </c:pt>
                <c:pt idx="3">
                  <c:v>4</c:v>
                </c:pt>
              </c:numCache>
            </c:numRef>
          </c:val>
          <c:shape val="cylinder"/>
          <c:extLst>
            <c:ext xmlns:c16="http://schemas.microsoft.com/office/drawing/2014/chart" uri="{C3380CC4-5D6E-409C-BE32-E72D297353CC}">
              <c16:uniqueId val="{00000004-AFA0-4B3C-B54A-B566F97F2FBF}"/>
            </c:ext>
          </c:extLst>
        </c:ser>
        <c:dLbls>
          <c:showLegendKey val="0"/>
          <c:showVal val="1"/>
          <c:showCatName val="0"/>
          <c:showSerName val="0"/>
          <c:showPercent val="0"/>
          <c:showBubbleSize val="0"/>
        </c:dLbls>
        <c:gapWidth val="150"/>
        <c:shape val="box"/>
        <c:axId val="1376620160"/>
        <c:axId val="1376614400"/>
        <c:axId val="0"/>
      </c:bar3DChart>
      <c:catAx>
        <c:axId val="1376620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rgbClr val="75162D"/>
                </a:solidFill>
                <a:latin typeface="Segoe UI Black" panose="020B0A02040204020203" pitchFamily="34" charset="0"/>
                <a:ea typeface="Segoe UI Black" panose="020B0A02040204020203" pitchFamily="34" charset="0"/>
                <a:cs typeface="+mn-cs"/>
              </a:defRPr>
            </a:pPr>
            <a:endParaRPr lang="en-US"/>
          </a:p>
        </c:txPr>
        <c:crossAx val="1376614400"/>
        <c:crosses val="autoZero"/>
        <c:auto val="1"/>
        <c:lblAlgn val="ctr"/>
        <c:lblOffset val="100"/>
        <c:noMultiLvlLbl val="0"/>
      </c:catAx>
      <c:valAx>
        <c:axId val="1376614400"/>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20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TAILED ANALYSIS'!A1"/><Relationship Id="rId3" Type="http://schemas.openxmlformats.org/officeDocument/2006/relationships/chart" Target="../charts/chart3.xml"/><Relationship Id="rId7" Type="http://schemas.openxmlformats.org/officeDocument/2006/relationships/hyperlink" Target="#'EXECUTIVE SUMMARY'!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image" Target="../media/image4.png"/><Relationship Id="rId2" Type="http://schemas.openxmlformats.org/officeDocument/2006/relationships/chart" Target="../charts/chart7.xml"/><Relationship Id="rId1" Type="http://schemas.openxmlformats.org/officeDocument/2006/relationships/image" Target="../media/image2.emf"/><Relationship Id="rId6" Type="http://schemas.openxmlformats.org/officeDocument/2006/relationships/chart" Target="../charts/chart11.xml"/><Relationship Id="rId11" Type="http://schemas.openxmlformats.org/officeDocument/2006/relationships/hyperlink" Target="#'DETAILED ANALYSIS'!A1"/><Relationship Id="rId5" Type="http://schemas.openxmlformats.org/officeDocument/2006/relationships/chart" Target="../charts/chart10.xml"/><Relationship Id="rId10" Type="http://schemas.openxmlformats.org/officeDocument/2006/relationships/hyperlink" Target="#'EXECUTIVE SUMMARY'!A1"/><Relationship Id="rId4" Type="http://schemas.openxmlformats.org/officeDocument/2006/relationships/chart" Target="../charts/chart9.xml"/><Relationship Id="rId9"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69214</xdr:colOff>
      <xdr:row>1</xdr:row>
      <xdr:rowOff>29561</xdr:rowOff>
    </xdr:from>
    <xdr:to>
      <xdr:col>44</xdr:col>
      <xdr:colOff>613500</xdr:colOff>
      <xdr:row>84</xdr:row>
      <xdr:rowOff>33126</xdr:rowOff>
    </xdr:to>
    <xdr:sp macro="" textlink="">
      <xdr:nvSpPr>
        <xdr:cNvPr id="2" name="Rectangle: Rounded Corners 1">
          <a:extLst>
            <a:ext uri="{FF2B5EF4-FFF2-40B4-BE49-F238E27FC236}">
              <a16:creationId xmlns:a16="http://schemas.microsoft.com/office/drawing/2014/main" id="{23F3D4C0-2BDF-65B9-D992-A4C937F0CB57}"/>
            </a:ext>
          </a:extLst>
        </xdr:cNvPr>
        <xdr:cNvSpPr/>
      </xdr:nvSpPr>
      <xdr:spPr>
        <a:xfrm>
          <a:off x="69214" y="202743"/>
          <a:ext cx="29754286" cy="14377656"/>
        </a:xfrm>
        <a:prstGeom prst="roundRect">
          <a:avLst>
            <a:gd name="adj" fmla="val 2986"/>
          </a:avLst>
        </a:prstGeom>
        <a:solidFill>
          <a:srgbClr val="F37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228372</xdr:colOff>
      <xdr:row>1</xdr:row>
      <xdr:rowOff>100263</xdr:rowOff>
    </xdr:from>
    <xdr:to>
      <xdr:col>44</xdr:col>
      <xdr:colOff>374197</xdr:colOff>
      <xdr:row>6</xdr:row>
      <xdr:rowOff>89122</xdr:rowOff>
    </xdr:to>
    <xdr:sp macro="" textlink="">
      <xdr:nvSpPr>
        <xdr:cNvPr id="3" name="Rectangle: Rounded Corners 2">
          <a:extLst>
            <a:ext uri="{FF2B5EF4-FFF2-40B4-BE49-F238E27FC236}">
              <a16:creationId xmlns:a16="http://schemas.microsoft.com/office/drawing/2014/main" id="{568EDA54-1E97-0A16-0D2B-7A3EBCE77104}"/>
            </a:ext>
          </a:extLst>
        </xdr:cNvPr>
        <xdr:cNvSpPr/>
      </xdr:nvSpPr>
      <xdr:spPr>
        <a:xfrm>
          <a:off x="228372" y="281692"/>
          <a:ext cx="29083682" cy="896001"/>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476760</xdr:colOff>
      <xdr:row>1</xdr:row>
      <xdr:rowOff>117987</xdr:rowOff>
    </xdr:from>
    <xdr:to>
      <xdr:col>29</xdr:col>
      <xdr:colOff>115455</xdr:colOff>
      <xdr:row>5</xdr:row>
      <xdr:rowOff>136949</xdr:rowOff>
    </xdr:to>
    <xdr:sp macro="" textlink="">
      <xdr:nvSpPr>
        <xdr:cNvPr id="4" name="TextBox 3">
          <a:extLst>
            <a:ext uri="{FF2B5EF4-FFF2-40B4-BE49-F238E27FC236}">
              <a16:creationId xmlns:a16="http://schemas.microsoft.com/office/drawing/2014/main" id="{04D0C792-588A-CAA5-B8A1-FF1936EF7451}"/>
            </a:ext>
          </a:extLst>
        </xdr:cNvPr>
        <xdr:cNvSpPr txBox="1"/>
      </xdr:nvSpPr>
      <xdr:spPr>
        <a:xfrm>
          <a:off x="3132215" y="291169"/>
          <a:ext cx="16235285" cy="71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0" i="0">
              <a:solidFill>
                <a:srgbClr val="790D0D"/>
              </a:solidFill>
              <a:effectLst/>
              <a:latin typeface="Segoe UI Black" panose="020B0A02040204020203" pitchFamily="34" charset="0"/>
              <a:ea typeface="Segoe UI Black" panose="020B0A02040204020203" pitchFamily="34" charset="0"/>
              <a:cs typeface="+mn-cs"/>
            </a:rPr>
            <a:t>PAKISTAN</a:t>
          </a:r>
          <a:r>
            <a:rPr lang="en-US" sz="4000" b="0" i="0" baseline="0">
              <a:solidFill>
                <a:srgbClr val="790D0D"/>
              </a:solidFill>
              <a:effectLst/>
              <a:latin typeface="Segoe UI Black" panose="020B0A02040204020203" pitchFamily="34" charset="0"/>
              <a:ea typeface="Segoe UI Black" panose="020B0A02040204020203" pitchFamily="34" charset="0"/>
              <a:cs typeface="+mn-cs"/>
            </a:rPr>
            <a:t> </a:t>
          </a:r>
          <a:r>
            <a:rPr lang="en-US" sz="4000" b="0" i="0">
              <a:solidFill>
                <a:srgbClr val="790D0D"/>
              </a:solidFill>
              <a:effectLst/>
              <a:latin typeface="Segoe UI Black" panose="020B0A02040204020203" pitchFamily="34" charset="0"/>
              <a:ea typeface="Segoe UI Black" panose="020B0A02040204020203" pitchFamily="34" charset="0"/>
              <a:cs typeface="+mn-cs"/>
            </a:rPr>
            <a:t>SALES PERFORMANCE DASHBOARD - FY OVERVIEW  </a:t>
          </a:r>
        </a:p>
        <a:p>
          <a:r>
            <a:rPr lang="en-US" sz="1200" b="0" i="0">
              <a:solidFill>
                <a:srgbClr val="790D0D"/>
              </a:solidFill>
              <a:effectLst/>
              <a:latin typeface="+mn-lt"/>
              <a:ea typeface="+mn-ea"/>
              <a:cs typeface="+mn-cs"/>
            </a:rPr>
            <a:t>   </a:t>
          </a:r>
        </a:p>
      </xdr:txBody>
    </xdr:sp>
    <xdr:clientData/>
  </xdr:twoCellAnchor>
  <xdr:twoCellAnchor>
    <xdr:from>
      <xdr:col>0</xdr:col>
      <xdr:colOff>133683</xdr:colOff>
      <xdr:row>18</xdr:row>
      <xdr:rowOff>155974</xdr:rowOff>
    </xdr:from>
    <xdr:to>
      <xdr:col>44</xdr:col>
      <xdr:colOff>505408</xdr:colOff>
      <xdr:row>30</xdr:row>
      <xdr:rowOff>111414</xdr:rowOff>
    </xdr:to>
    <xdr:sp macro="" textlink="">
      <xdr:nvSpPr>
        <xdr:cNvPr id="5" name="Rectangle: Rounded Corners 4">
          <a:extLst>
            <a:ext uri="{FF2B5EF4-FFF2-40B4-BE49-F238E27FC236}">
              <a16:creationId xmlns:a16="http://schemas.microsoft.com/office/drawing/2014/main" id="{E216DE54-D084-45FA-9657-046AE1A83F34}"/>
            </a:ext>
          </a:extLst>
        </xdr:cNvPr>
        <xdr:cNvSpPr/>
      </xdr:nvSpPr>
      <xdr:spPr>
        <a:xfrm>
          <a:off x="133683" y="3421688"/>
          <a:ext cx="29452133" cy="2132583"/>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335316</xdr:colOff>
      <xdr:row>19</xdr:row>
      <xdr:rowOff>92068</xdr:rowOff>
    </xdr:from>
    <xdr:to>
      <xdr:col>39</xdr:col>
      <xdr:colOff>88904</xdr:colOff>
      <xdr:row>29</xdr:row>
      <xdr:rowOff>153091</xdr:rowOff>
    </xdr:to>
    <xdr:grpSp>
      <xdr:nvGrpSpPr>
        <xdr:cNvPr id="84" name="Group 83">
          <a:extLst>
            <a:ext uri="{FF2B5EF4-FFF2-40B4-BE49-F238E27FC236}">
              <a16:creationId xmlns:a16="http://schemas.microsoft.com/office/drawing/2014/main" id="{B183EE72-FEA0-9B7C-88EB-A0DC120DBD7D}"/>
            </a:ext>
          </a:extLst>
        </xdr:cNvPr>
        <xdr:cNvGrpSpPr/>
      </xdr:nvGrpSpPr>
      <xdr:grpSpPr>
        <a:xfrm>
          <a:off x="335316" y="3470268"/>
          <a:ext cx="25509188" cy="1839023"/>
          <a:chOff x="335316" y="3539211"/>
          <a:chExt cx="25529404" cy="1875309"/>
        </a:xfrm>
      </xdr:grpSpPr>
      <xdr:sp macro="" textlink="">
        <xdr:nvSpPr>
          <xdr:cNvPr id="6" name="Rectangle: Rounded Corners 5">
            <a:extLst>
              <a:ext uri="{FF2B5EF4-FFF2-40B4-BE49-F238E27FC236}">
                <a16:creationId xmlns:a16="http://schemas.microsoft.com/office/drawing/2014/main" id="{DA60485A-F3B0-4220-8933-B58C8651E455}"/>
              </a:ext>
            </a:extLst>
          </xdr:cNvPr>
          <xdr:cNvSpPr/>
        </xdr:nvSpPr>
        <xdr:spPr>
          <a:xfrm>
            <a:off x="335316" y="3591842"/>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D369D6FC-F06C-4211-9B94-A9C5EEA7822C}"/>
              </a:ext>
            </a:extLst>
          </xdr:cNvPr>
          <xdr:cNvSpPr/>
        </xdr:nvSpPr>
        <xdr:spPr>
          <a:xfrm>
            <a:off x="4005919" y="3588212"/>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 name="Rectangle: Rounded Corners 7">
            <a:extLst>
              <a:ext uri="{FF2B5EF4-FFF2-40B4-BE49-F238E27FC236}">
                <a16:creationId xmlns:a16="http://schemas.microsoft.com/office/drawing/2014/main" id="{EBCC9D49-EC50-4C7C-B145-1772229E38C9}"/>
              </a:ext>
            </a:extLst>
          </xdr:cNvPr>
          <xdr:cNvSpPr/>
        </xdr:nvSpPr>
        <xdr:spPr>
          <a:xfrm>
            <a:off x="7687724" y="3561895"/>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1D4D7CF6-7FED-41B1-8AF2-0FA6E4B54726}"/>
              </a:ext>
            </a:extLst>
          </xdr:cNvPr>
          <xdr:cNvSpPr/>
        </xdr:nvSpPr>
        <xdr:spPr>
          <a:xfrm>
            <a:off x="11320691" y="3588212"/>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 name="TextBox 11">
            <a:extLst>
              <a:ext uri="{FF2B5EF4-FFF2-40B4-BE49-F238E27FC236}">
                <a16:creationId xmlns:a16="http://schemas.microsoft.com/office/drawing/2014/main" id="{2046F38D-270D-A970-F046-4C9565F53417}"/>
              </a:ext>
            </a:extLst>
          </xdr:cNvPr>
          <xdr:cNvSpPr txBox="1"/>
        </xdr:nvSpPr>
        <xdr:spPr>
          <a:xfrm>
            <a:off x="548153" y="3603188"/>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Total REVENUE</a:t>
            </a:r>
          </a:p>
        </xdr:txBody>
      </xdr:sp>
      <xdr:sp macro="" textlink="Pivot_Tables!A5">
        <xdr:nvSpPr>
          <xdr:cNvPr id="13" name="TextBox 12">
            <a:extLst>
              <a:ext uri="{FF2B5EF4-FFF2-40B4-BE49-F238E27FC236}">
                <a16:creationId xmlns:a16="http://schemas.microsoft.com/office/drawing/2014/main" id="{1D5AF886-2FC5-46C9-8194-82D3D48A6825}"/>
              </a:ext>
            </a:extLst>
          </xdr:cNvPr>
          <xdr:cNvSpPr txBox="1"/>
        </xdr:nvSpPr>
        <xdr:spPr>
          <a:xfrm>
            <a:off x="466158" y="4200774"/>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71D2DB-1BA2-4AD7-B98F-623555184F7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algn="ctr"/>
              <a:t>$102K</a:t>
            </a:fld>
            <a:endParaRPr lang="en-US" sz="4000" b="1">
              <a:solidFill>
                <a:schemeClr val="tx1"/>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14" name="TextBox 13">
            <a:extLst>
              <a:ext uri="{FF2B5EF4-FFF2-40B4-BE49-F238E27FC236}">
                <a16:creationId xmlns:a16="http://schemas.microsoft.com/office/drawing/2014/main" id="{832177B9-4C6F-46D3-A802-CF931F71AC87}"/>
              </a:ext>
            </a:extLst>
          </xdr:cNvPr>
          <xdr:cNvSpPr txBox="1"/>
        </xdr:nvSpPr>
        <xdr:spPr>
          <a:xfrm>
            <a:off x="4229963" y="3610902"/>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Total PROFIT</a:t>
            </a:r>
          </a:p>
        </xdr:txBody>
      </xdr:sp>
      <xdr:sp macro="" textlink="Pivot_Tables!I5">
        <xdr:nvSpPr>
          <xdr:cNvPr id="16" name="TextBox 15">
            <a:extLst>
              <a:ext uri="{FF2B5EF4-FFF2-40B4-BE49-F238E27FC236}">
                <a16:creationId xmlns:a16="http://schemas.microsoft.com/office/drawing/2014/main" id="{EAEB6736-E58C-45B2-8811-0E67812F09E5}"/>
              </a:ext>
            </a:extLst>
          </xdr:cNvPr>
          <xdr:cNvSpPr txBox="1"/>
        </xdr:nvSpPr>
        <xdr:spPr>
          <a:xfrm>
            <a:off x="4058352" y="4231179"/>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CC8691-8B68-4B0B-86DE-0C6D0FECE2A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$39K</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17" name="TextBox 16">
            <a:extLst>
              <a:ext uri="{FF2B5EF4-FFF2-40B4-BE49-F238E27FC236}">
                <a16:creationId xmlns:a16="http://schemas.microsoft.com/office/drawing/2014/main" id="{F2A32927-2344-4BF6-A125-6E61D79F4B38}"/>
              </a:ext>
            </a:extLst>
          </xdr:cNvPr>
          <xdr:cNvSpPr txBox="1"/>
        </xdr:nvSpPr>
        <xdr:spPr>
          <a:xfrm>
            <a:off x="7844558" y="3595927"/>
            <a:ext cx="3311691"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dk1"/>
                </a:solidFill>
                <a:effectLst/>
                <a:latin typeface="+mn-lt"/>
                <a:ea typeface="+mn-ea"/>
                <a:cs typeface="+mn-cs"/>
              </a:rPr>
              <a:t>PROFIT </a:t>
            </a:r>
            <a:r>
              <a:rPr lang="en-US" sz="2800" b="1">
                <a:solidFill>
                  <a:schemeClr val="tx1"/>
                </a:solidFill>
                <a:latin typeface="Segoe UI" panose="020B0502040204020203" pitchFamily="34" charset="0"/>
                <a:cs typeface="Segoe UI" panose="020B0502040204020203" pitchFamily="34" charset="0"/>
              </a:rPr>
              <a:t>MARGIN%</a:t>
            </a:r>
          </a:p>
        </xdr:txBody>
      </xdr:sp>
      <xdr:sp macro="" textlink="Pivot_Tables!C65">
        <xdr:nvSpPr>
          <xdr:cNvPr id="18" name="TextBox 17">
            <a:extLst>
              <a:ext uri="{FF2B5EF4-FFF2-40B4-BE49-F238E27FC236}">
                <a16:creationId xmlns:a16="http://schemas.microsoft.com/office/drawing/2014/main" id="{02263049-587D-40C8-B9A7-28611EFE990F}"/>
              </a:ext>
            </a:extLst>
          </xdr:cNvPr>
          <xdr:cNvSpPr txBox="1"/>
        </xdr:nvSpPr>
        <xdr:spPr>
          <a:xfrm>
            <a:off x="7863382" y="4182176"/>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7B7B86-F6C2-47A9-B195-97427814CD5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Pivot_Tables!A10">
        <xdr:nvSpPr>
          <xdr:cNvPr id="19" name="TextBox 18">
            <a:extLst>
              <a:ext uri="{FF2B5EF4-FFF2-40B4-BE49-F238E27FC236}">
                <a16:creationId xmlns:a16="http://schemas.microsoft.com/office/drawing/2014/main" id="{A60EEA60-5E98-49FA-8072-23584989D5D4}"/>
              </a:ext>
            </a:extLst>
          </xdr:cNvPr>
          <xdr:cNvSpPr txBox="1"/>
        </xdr:nvSpPr>
        <xdr:spPr>
          <a:xfrm>
            <a:off x="11500388" y="4189889"/>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ACDCA9-1884-430D-BB67-038F98237936}"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240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20" name="TextBox 19">
            <a:extLst>
              <a:ext uri="{FF2B5EF4-FFF2-40B4-BE49-F238E27FC236}">
                <a16:creationId xmlns:a16="http://schemas.microsoft.com/office/drawing/2014/main" id="{608AE469-E347-4278-8710-0BFB4D537855}"/>
              </a:ext>
            </a:extLst>
          </xdr:cNvPr>
          <xdr:cNvSpPr txBox="1"/>
        </xdr:nvSpPr>
        <xdr:spPr>
          <a:xfrm>
            <a:off x="11615523" y="3539211"/>
            <a:ext cx="3080492"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Total ORDERS</a:t>
            </a:r>
          </a:p>
        </xdr:txBody>
      </xdr:sp>
      <xdr:sp macro="" textlink="">
        <xdr:nvSpPr>
          <xdr:cNvPr id="21" name="Rectangle: Rounded Corners 20">
            <a:extLst>
              <a:ext uri="{FF2B5EF4-FFF2-40B4-BE49-F238E27FC236}">
                <a16:creationId xmlns:a16="http://schemas.microsoft.com/office/drawing/2014/main" id="{841B01B7-C90D-40A2-ACBF-27B6D39AD722}"/>
              </a:ext>
            </a:extLst>
          </xdr:cNvPr>
          <xdr:cNvSpPr/>
        </xdr:nvSpPr>
        <xdr:spPr>
          <a:xfrm>
            <a:off x="14961343" y="3610900"/>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Rounded Corners 21">
            <a:extLst>
              <a:ext uri="{FF2B5EF4-FFF2-40B4-BE49-F238E27FC236}">
                <a16:creationId xmlns:a16="http://schemas.microsoft.com/office/drawing/2014/main" id="{20052D20-62F0-40BC-8352-F7AD2043119A}"/>
              </a:ext>
            </a:extLst>
          </xdr:cNvPr>
          <xdr:cNvSpPr/>
        </xdr:nvSpPr>
        <xdr:spPr>
          <a:xfrm>
            <a:off x="18631946" y="3607270"/>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3" name="Rectangle: Rounded Corners 22">
            <a:extLst>
              <a:ext uri="{FF2B5EF4-FFF2-40B4-BE49-F238E27FC236}">
                <a16:creationId xmlns:a16="http://schemas.microsoft.com/office/drawing/2014/main" id="{33CF659E-0B8C-4941-80EB-E065FE18A10E}"/>
              </a:ext>
            </a:extLst>
          </xdr:cNvPr>
          <xdr:cNvSpPr/>
        </xdr:nvSpPr>
        <xdr:spPr>
          <a:xfrm>
            <a:off x="22313751" y="3580954"/>
            <a:ext cx="3550969" cy="180362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5" name="TextBox 24">
            <a:extLst>
              <a:ext uri="{FF2B5EF4-FFF2-40B4-BE49-F238E27FC236}">
                <a16:creationId xmlns:a16="http://schemas.microsoft.com/office/drawing/2014/main" id="{370C43BE-92C4-49ED-ACB1-99F2F87F0EE3}"/>
              </a:ext>
            </a:extLst>
          </xdr:cNvPr>
          <xdr:cNvSpPr txBox="1"/>
        </xdr:nvSpPr>
        <xdr:spPr>
          <a:xfrm>
            <a:off x="15980707" y="3565521"/>
            <a:ext cx="1146164"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AOV</a:t>
            </a:r>
          </a:p>
        </xdr:txBody>
      </xdr:sp>
      <xdr:sp macro="" textlink="Pivot_Tables!B11">
        <xdr:nvSpPr>
          <xdr:cNvPr id="26" name="TextBox 25">
            <a:extLst>
              <a:ext uri="{FF2B5EF4-FFF2-40B4-BE49-F238E27FC236}">
                <a16:creationId xmlns:a16="http://schemas.microsoft.com/office/drawing/2014/main" id="{8046124E-E7F3-4CAB-8E84-2060F45FE964}"/>
              </a:ext>
            </a:extLst>
          </xdr:cNvPr>
          <xdr:cNvSpPr txBox="1"/>
        </xdr:nvSpPr>
        <xdr:spPr>
          <a:xfrm>
            <a:off x="15125789" y="4185800"/>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1F3A95-A5FE-44EF-B29F-E13C5DCF14C5}"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$425.40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27" name="TextBox 26">
            <a:extLst>
              <a:ext uri="{FF2B5EF4-FFF2-40B4-BE49-F238E27FC236}">
                <a16:creationId xmlns:a16="http://schemas.microsoft.com/office/drawing/2014/main" id="{1BE69173-A1EE-48DF-9961-EB76AFEAB6DD}"/>
              </a:ext>
            </a:extLst>
          </xdr:cNvPr>
          <xdr:cNvSpPr txBox="1"/>
        </xdr:nvSpPr>
        <xdr:spPr>
          <a:xfrm>
            <a:off x="19259253" y="3584583"/>
            <a:ext cx="252757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a:t>
            </a:r>
            <a:r>
              <a:rPr lang="en-US" sz="3200" b="1">
                <a:solidFill>
                  <a:schemeClr val="tx1"/>
                </a:solidFill>
                <a:latin typeface="Segoe UI" panose="020B0502040204020203" pitchFamily="34" charset="0"/>
                <a:ea typeface="+mn-ea"/>
                <a:cs typeface="Segoe UI" panose="020B0502040204020203" pitchFamily="34" charset="0"/>
              </a:rPr>
              <a:t>Rating</a:t>
            </a:r>
          </a:p>
        </xdr:txBody>
      </xdr:sp>
      <xdr:sp macro="" textlink="Pivot_Tables!C97">
        <xdr:nvSpPr>
          <xdr:cNvPr id="28" name="TextBox 27">
            <a:extLst>
              <a:ext uri="{FF2B5EF4-FFF2-40B4-BE49-F238E27FC236}">
                <a16:creationId xmlns:a16="http://schemas.microsoft.com/office/drawing/2014/main" id="{B593A274-6DA6-4518-BDD6-322E9C587987}"/>
              </a:ext>
            </a:extLst>
          </xdr:cNvPr>
          <xdr:cNvSpPr txBox="1"/>
        </xdr:nvSpPr>
        <xdr:spPr>
          <a:xfrm>
            <a:off x="18785189" y="4238891"/>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6973F6-8DAC-46F6-BBF0-297309C6480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4.3</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29" name="TextBox 28">
            <a:extLst>
              <a:ext uri="{FF2B5EF4-FFF2-40B4-BE49-F238E27FC236}">
                <a16:creationId xmlns:a16="http://schemas.microsoft.com/office/drawing/2014/main" id="{A8F9F4B7-B073-4FFC-885B-CDCC7E19F31B}"/>
              </a:ext>
            </a:extLst>
          </xdr:cNvPr>
          <xdr:cNvSpPr txBox="1"/>
        </xdr:nvSpPr>
        <xdr:spPr>
          <a:xfrm>
            <a:off x="22728229" y="3614987"/>
            <a:ext cx="2788786"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a:t>
            </a:r>
            <a:r>
              <a:rPr lang="en-US" sz="3200" b="1">
                <a:solidFill>
                  <a:schemeClr val="tx1"/>
                </a:solidFill>
                <a:latin typeface="Segoe UI" panose="020B0502040204020203" pitchFamily="34" charset="0"/>
                <a:ea typeface="+mn-ea"/>
                <a:cs typeface="Segoe UI" panose="020B0502040204020203" pitchFamily="34" charset="0"/>
              </a:rPr>
              <a:t>Delivery</a:t>
            </a:r>
          </a:p>
        </xdr:txBody>
      </xdr:sp>
      <xdr:sp macro="" textlink="Pivot_Tables!C97">
        <xdr:nvSpPr>
          <xdr:cNvPr id="30" name="TextBox 29">
            <a:extLst>
              <a:ext uri="{FF2B5EF4-FFF2-40B4-BE49-F238E27FC236}">
                <a16:creationId xmlns:a16="http://schemas.microsoft.com/office/drawing/2014/main" id="{AC616419-8F15-4792-AE59-F6069761B94E}"/>
              </a:ext>
            </a:extLst>
          </xdr:cNvPr>
          <xdr:cNvSpPr txBox="1"/>
        </xdr:nvSpPr>
        <xdr:spPr>
          <a:xfrm>
            <a:off x="22444602" y="4326011"/>
            <a:ext cx="3125300" cy="56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6973F6-8DAC-46F6-BBF0-297309C6480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4.3</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grpSp>
    <xdr:clientData/>
  </xdr:twoCellAnchor>
  <xdr:twoCellAnchor>
    <xdr:from>
      <xdr:col>0</xdr:col>
      <xdr:colOff>144825</xdr:colOff>
      <xdr:row>7</xdr:row>
      <xdr:rowOff>41005</xdr:rowOff>
    </xdr:from>
    <xdr:to>
      <xdr:col>39</xdr:col>
      <xdr:colOff>375207</xdr:colOff>
      <xdr:row>17</xdr:row>
      <xdr:rowOff>167106</xdr:rowOff>
    </xdr:to>
    <xdr:sp macro="" textlink="">
      <xdr:nvSpPr>
        <xdr:cNvPr id="31" name="Rectangle: Rounded Corners 30">
          <a:extLst>
            <a:ext uri="{FF2B5EF4-FFF2-40B4-BE49-F238E27FC236}">
              <a16:creationId xmlns:a16="http://schemas.microsoft.com/office/drawing/2014/main" id="{76167800-B2BE-48F3-BC37-4A8BAB2C9681}"/>
            </a:ext>
          </a:extLst>
        </xdr:cNvPr>
        <xdr:cNvSpPr/>
      </xdr:nvSpPr>
      <xdr:spPr>
        <a:xfrm>
          <a:off x="144825" y="1288724"/>
          <a:ext cx="25864329" cy="1908557"/>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267367</xdr:colOff>
      <xdr:row>8</xdr:row>
      <xdr:rowOff>44132</xdr:rowOff>
    </xdr:from>
    <xdr:to>
      <xdr:col>6</xdr:col>
      <xdr:colOff>324254</xdr:colOff>
      <xdr:row>17</xdr:row>
      <xdr:rowOff>54043</xdr:rowOff>
    </xdr:to>
    <mc:AlternateContent xmlns:mc="http://schemas.openxmlformats.org/markup-compatibility/2006" xmlns:a14="http://schemas.microsoft.com/office/drawing/2010/main">
      <mc:Choice Requires="a14">
        <xdr:graphicFrame macro="">
          <xdr:nvGraphicFramePr>
            <xdr:cNvPr id="32" name="Region">
              <a:extLst>
                <a:ext uri="{FF2B5EF4-FFF2-40B4-BE49-F238E27FC236}">
                  <a16:creationId xmlns:a16="http://schemas.microsoft.com/office/drawing/2014/main" id="{69B56D11-E859-4204-9250-C650235451F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7367" y="1419965"/>
              <a:ext cx="4025637" cy="1557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364788</xdr:colOff>
      <xdr:row>8</xdr:row>
      <xdr:rowOff>13486</xdr:rowOff>
    </xdr:from>
    <xdr:to>
      <xdr:col>13</xdr:col>
      <xdr:colOff>54047</xdr:colOff>
      <xdr:row>17</xdr:row>
      <xdr:rowOff>54042</xdr:rowOff>
    </xdr:to>
    <mc:AlternateContent xmlns:mc="http://schemas.openxmlformats.org/markup-compatibility/2006" xmlns:a14="http://schemas.microsoft.com/office/drawing/2010/main">
      <mc:Choice Requires="a14">
        <xdr:graphicFrame macro="">
          <xdr:nvGraphicFramePr>
            <xdr:cNvPr id="33" name="Category">
              <a:extLst>
                <a:ext uri="{FF2B5EF4-FFF2-40B4-BE49-F238E27FC236}">
                  <a16:creationId xmlns:a16="http://schemas.microsoft.com/office/drawing/2014/main" id="{97AF9D29-56BF-4ABB-85FA-8BB3EF826D5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333538" y="1389319"/>
              <a:ext cx="4319467" cy="158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170757</xdr:colOff>
      <xdr:row>8</xdr:row>
      <xdr:rowOff>22279</xdr:rowOff>
    </xdr:from>
    <xdr:to>
      <xdr:col>18</xdr:col>
      <xdr:colOff>390396</xdr:colOff>
      <xdr:row>17</xdr:row>
      <xdr:rowOff>67553</xdr:rowOff>
    </xdr:to>
    <mc:AlternateContent xmlns:mc="http://schemas.openxmlformats.org/markup-compatibility/2006" xmlns:a14="http://schemas.microsoft.com/office/drawing/2010/main">
      <mc:Choice Requires="a14">
        <xdr:graphicFrame macro="">
          <xdr:nvGraphicFramePr>
            <xdr:cNvPr id="34" name="Sales_Channel">
              <a:extLst>
                <a:ext uri="{FF2B5EF4-FFF2-40B4-BE49-F238E27FC236}">
                  <a16:creationId xmlns:a16="http://schemas.microsoft.com/office/drawing/2014/main" id="{98A086B2-7A83-4657-BC95-295BD4464D6C}"/>
                </a:ext>
              </a:extLst>
            </xdr:cNvPr>
            <xdr:cNvGraphicFramePr/>
          </xdr:nvGraphicFramePr>
          <xdr:xfrm>
            <a:off x="0" y="0"/>
            <a:ext cx="0" cy="0"/>
          </xdr:xfrm>
          <a:graphic>
            <a:graphicData uri="http://schemas.microsoft.com/office/drawing/2010/slicer">
              <sle:slicer xmlns:sle="http://schemas.microsoft.com/office/drawing/2010/slicer" name="Sales_Channel"/>
            </a:graphicData>
          </a:graphic>
        </xdr:graphicFrame>
      </mc:Choice>
      <mc:Fallback xmlns="">
        <xdr:sp macro="" textlink="">
          <xdr:nvSpPr>
            <xdr:cNvPr id="0" name=""/>
            <xdr:cNvSpPr>
              <a:spLocks noTextEdit="1"/>
            </xdr:cNvSpPr>
          </xdr:nvSpPr>
          <xdr:spPr>
            <a:xfrm>
              <a:off x="8769715" y="1398112"/>
              <a:ext cx="3526931" cy="15930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434959</xdr:colOff>
      <xdr:row>8</xdr:row>
      <xdr:rowOff>66841</xdr:rowOff>
    </xdr:from>
    <xdr:to>
      <xdr:col>24</xdr:col>
      <xdr:colOff>267851</xdr:colOff>
      <xdr:row>17</xdr:row>
      <xdr:rowOff>40531</xdr:rowOff>
    </xdr:to>
    <mc:AlternateContent xmlns:mc="http://schemas.openxmlformats.org/markup-compatibility/2006" xmlns:a14="http://schemas.microsoft.com/office/drawing/2010/main">
      <mc:Choice Requires="a14">
        <xdr:graphicFrame macro="">
          <xdr:nvGraphicFramePr>
            <xdr:cNvPr id="35" name="Customer_Segment">
              <a:extLst>
                <a:ext uri="{FF2B5EF4-FFF2-40B4-BE49-F238E27FC236}">
                  <a16:creationId xmlns:a16="http://schemas.microsoft.com/office/drawing/2014/main" id="{CD2AC0CE-F974-4413-9296-4821BED80353}"/>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12341209" y="1442674"/>
              <a:ext cx="3801642" cy="15215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379255</xdr:colOff>
      <xdr:row>8</xdr:row>
      <xdr:rowOff>33420</xdr:rowOff>
    </xdr:from>
    <xdr:to>
      <xdr:col>30</xdr:col>
      <xdr:colOff>196264</xdr:colOff>
      <xdr:row>16</xdr:row>
      <xdr:rowOff>148616</xdr:rowOff>
    </xdr:to>
    <mc:AlternateContent xmlns:mc="http://schemas.openxmlformats.org/markup-compatibility/2006" xmlns:a14="http://schemas.microsoft.com/office/drawing/2010/main">
      <mc:Choice Requires="a14">
        <xdr:graphicFrame macro="">
          <xdr:nvGraphicFramePr>
            <xdr:cNvPr id="36" name="Sales_Rep">
              <a:extLst>
                <a:ext uri="{FF2B5EF4-FFF2-40B4-BE49-F238E27FC236}">
                  <a16:creationId xmlns:a16="http://schemas.microsoft.com/office/drawing/2014/main" id="{B888604A-6DD3-4906-99BE-136C7352D709}"/>
                </a:ext>
              </a:extLst>
            </xdr:cNvPr>
            <xdr:cNvGraphicFramePr/>
          </xdr:nvGraphicFramePr>
          <xdr:xfrm>
            <a:off x="0" y="0"/>
            <a:ext cx="0" cy="0"/>
          </xdr:xfrm>
          <a:graphic>
            <a:graphicData uri="http://schemas.microsoft.com/office/drawing/2010/slicer">
              <sle:slicer xmlns:sle="http://schemas.microsoft.com/office/drawing/2010/slicer" name="Sales_Rep"/>
            </a:graphicData>
          </a:graphic>
        </xdr:graphicFrame>
      </mc:Choice>
      <mc:Fallback xmlns="">
        <xdr:sp macro="" textlink="">
          <xdr:nvSpPr>
            <xdr:cNvPr id="0" name=""/>
            <xdr:cNvSpPr>
              <a:spLocks noTextEdit="1"/>
            </xdr:cNvSpPr>
          </xdr:nvSpPr>
          <xdr:spPr>
            <a:xfrm>
              <a:off x="16254255" y="1409253"/>
              <a:ext cx="3785759" cy="1491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294583</xdr:colOff>
      <xdr:row>8</xdr:row>
      <xdr:rowOff>0</xdr:rowOff>
    </xdr:from>
    <xdr:to>
      <xdr:col>35</xdr:col>
      <xdr:colOff>646618</xdr:colOff>
      <xdr:row>17</xdr:row>
      <xdr:rowOff>54043</xdr:rowOff>
    </xdr:to>
    <mc:AlternateContent xmlns:mc="http://schemas.openxmlformats.org/markup-compatibility/2006" xmlns:a14="http://schemas.microsoft.com/office/drawing/2010/main">
      <mc:Choice Requires="a14">
        <xdr:graphicFrame macro="">
          <xdr:nvGraphicFramePr>
            <xdr:cNvPr id="37" name="Payment_Method">
              <a:extLst>
                <a:ext uri="{FF2B5EF4-FFF2-40B4-BE49-F238E27FC236}">
                  <a16:creationId xmlns:a16="http://schemas.microsoft.com/office/drawing/2014/main" id="{C91D8D7D-DB72-4FF9-AC77-C72AB1B3B522}"/>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20138333" y="1375833"/>
              <a:ext cx="3659327" cy="16018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34844</xdr:colOff>
      <xdr:row>7</xdr:row>
      <xdr:rowOff>144825</xdr:rowOff>
    </xdr:from>
    <xdr:to>
      <xdr:col>44</xdr:col>
      <xdr:colOff>405317</xdr:colOff>
      <xdr:row>17</xdr:row>
      <xdr:rowOff>40531</xdr:rowOff>
    </xdr:to>
    <mc:AlternateContent xmlns:mc="http://schemas.openxmlformats.org/markup-compatibility/2006" xmlns:tsle="http://schemas.microsoft.com/office/drawing/2012/timeslicer">
      <mc:Choice Requires="tsle">
        <xdr:graphicFrame macro="">
          <xdr:nvGraphicFramePr>
            <xdr:cNvPr id="38" name="Order_Date">
              <a:extLst>
                <a:ext uri="{FF2B5EF4-FFF2-40B4-BE49-F238E27FC236}">
                  <a16:creationId xmlns:a16="http://schemas.microsoft.com/office/drawing/2014/main" id="{9CF006DF-EE91-46E8-92CF-4F46F15447D2}"/>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23847344" y="1348679"/>
              <a:ext cx="5662140" cy="161549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144823</xdr:colOff>
      <xdr:row>32</xdr:row>
      <xdr:rowOff>93141</xdr:rowOff>
    </xdr:from>
    <xdr:to>
      <xdr:col>17</xdr:col>
      <xdr:colOff>388776</xdr:colOff>
      <xdr:row>57</xdr:row>
      <xdr:rowOff>155965</xdr:rowOff>
    </xdr:to>
    <xdr:sp macro="" textlink="">
      <xdr:nvSpPr>
        <xdr:cNvPr id="63" name="Rectangle: Rounded Corners 62">
          <a:extLst>
            <a:ext uri="{FF2B5EF4-FFF2-40B4-BE49-F238E27FC236}">
              <a16:creationId xmlns:a16="http://schemas.microsoft.com/office/drawing/2014/main" id="{55F4F6EB-E626-4107-92DE-7949F5060D11}"/>
            </a:ext>
          </a:extLst>
        </xdr:cNvPr>
        <xdr:cNvSpPr/>
      </xdr:nvSpPr>
      <xdr:spPr>
        <a:xfrm>
          <a:off x="144823" y="5898855"/>
          <a:ext cx="11479565" cy="4598539"/>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311929</xdr:colOff>
      <xdr:row>35</xdr:row>
      <xdr:rowOff>100264</xdr:rowOff>
    </xdr:from>
    <xdr:to>
      <xdr:col>17</xdr:col>
      <xdr:colOff>207346</xdr:colOff>
      <xdr:row>57</xdr:row>
      <xdr:rowOff>11140</xdr:rowOff>
    </xdr:to>
    <xdr:graphicFrame macro="">
      <xdr:nvGraphicFramePr>
        <xdr:cNvPr id="64" name="Chart 63">
          <a:extLst>
            <a:ext uri="{FF2B5EF4-FFF2-40B4-BE49-F238E27FC236}">
              <a16:creationId xmlns:a16="http://schemas.microsoft.com/office/drawing/2014/main" id="{7179CEB0-338C-4926-85F1-E689BDDF5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596123</xdr:colOff>
      <xdr:row>32</xdr:row>
      <xdr:rowOff>78436</xdr:rowOff>
    </xdr:from>
    <xdr:to>
      <xdr:col>31</xdr:col>
      <xdr:colOff>375817</xdr:colOff>
      <xdr:row>57</xdr:row>
      <xdr:rowOff>141260</xdr:rowOff>
    </xdr:to>
    <xdr:sp macro="" textlink="">
      <xdr:nvSpPr>
        <xdr:cNvPr id="65" name="Rectangle: Rounded Corners 64">
          <a:extLst>
            <a:ext uri="{FF2B5EF4-FFF2-40B4-BE49-F238E27FC236}">
              <a16:creationId xmlns:a16="http://schemas.microsoft.com/office/drawing/2014/main" id="{3B140347-7AAF-48E4-9CA5-13D699ED116A}"/>
            </a:ext>
          </a:extLst>
        </xdr:cNvPr>
        <xdr:cNvSpPr/>
      </xdr:nvSpPr>
      <xdr:spPr>
        <a:xfrm>
          <a:off x="11831735" y="5884150"/>
          <a:ext cx="9032551" cy="4598539"/>
        </a:xfrm>
        <a:prstGeom prst="roundRect">
          <a:avLst>
            <a:gd name="adj" fmla="val 8285"/>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356491</xdr:colOff>
      <xdr:row>32</xdr:row>
      <xdr:rowOff>77990</xdr:rowOff>
    </xdr:from>
    <xdr:to>
      <xdr:col>10</xdr:col>
      <xdr:colOff>0</xdr:colOff>
      <xdr:row>35</xdr:row>
      <xdr:rowOff>100272</xdr:rowOff>
    </xdr:to>
    <xdr:sp macro="" textlink="">
      <xdr:nvSpPr>
        <xdr:cNvPr id="66" name="TextBox 65">
          <a:extLst>
            <a:ext uri="{FF2B5EF4-FFF2-40B4-BE49-F238E27FC236}">
              <a16:creationId xmlns:a16="http://schemas.microsoft.com/office/drawing/2014/main" id="{C9FCFAF2-7C2F-4DCE-A6AD-0DEE5FF52468}"/>
            </a:ext>
          </a:extLst>
        </xdr:cNvPr>
        <xdr:cNvSpPr txBox="1"/>
      </xdr:nvSpPr>
      <xdr:spPr>
        <a:xfrm>
          <a:off x="356491" y="5781850"/>
          <a:ext cx="6216316" cy="557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Segoe UI Black" panose="020B0A02040204020203" pitchFamily="34" charset="0"/>
              <a:ea typeface="Segoe UI Black" panose="020B0A02040204020203" pitchFamily="34" charset="0"/>
              <a:cs typeface="+mn-cs"/>
            </a:rPr>
            <a:t>Monthly Profit Vs RevenueTrend</a:t>
          </a:r>
        </a:p>
      </xdr:txBody>
    </xdr:sp>
    <xdr:clientData/>
  </xdr:twoCellAnchor>
  <xdr:twoCellAnchor>
    <xdr:from>
      <xdr:col>18</xdr:col>
      <xdr:colOff>72814</xdr:colOff>
      <xdr:row>35</xdr:row>
      <xdr:rowOff>155962</xdr:rowOff>
    </xdr:from>
    <xdr:to>
      <xdr:col>31</xdr:col>
      <xdr:colOff>88775</xdr:colOff>
      <xdr:row>56</xdr:row>
      <xdr:rowOff>89119</xdr:rowOff>
    </xdr:to>
    <xdr:graphicFrame macro="">
      <xdr:nvGraphicFramePr>
        <xdr:cNvPr id="67" name="Chart 66">
          <a:extLst>
            <a:ext uri="{FF2B5EF4-FFF2-40B4-BE49-F238E27FC236}">
              <a16:creationId xmlns:a16="http://schemas.microsoft.com/office/drawing/2014/main" id="{B17C8976-8D96-4156-9854-BFF6ABAED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604482</xdr:colOff>
      <xdr:row>32</xdr:row>
      <xdr:rowOff>118988</xdr:rowOff>
    </xdr:from>
    <xdr:to>
      <xdr:col>24</xdr:col>
      <xdr:colOff>279698</xdr:colOff>
      <xdr:row>35</xdr:row>
      <xdr:rowOff>141270</xdr:rowOff>
    </xdr:to>
    <xdr:sp macro="" textlink="">
      <xdr:nvSpPr>
        <xdr:cNvPr id="68" name="TextBox 67">
          <a:extLst>
            <a:ext uri="{FF2B5EF4-FFF2-40B4-BE49-F238E27FC236}">
              <a16:creationId xmlns:a16="http://schemas.microsoft.com/office/drawing/2014/main" id="{7034ACFE-6718-42F7-B1EF-EC15A20E01DB}"/>
            </a:ext>
          </a:extLst>
        </xdr:cNvPr>
        <xdr:cNvSpPr txBox="1"/>
      </xdr:nvSpPr>
      <xdr:spPr>
        <a:xfrm>
          <a:off x="11840094" y="5924702"/>
          <a:ext cx="4301645" cy="566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Revenue by Region</a:t>
          </a:r>
        </a:p>
      </xdr:txBody>
    </xdr:sp>
    <xdr:clientData/>
  </xdr:twoCellAnchor>
  <xdr:twoCellAnchor>
    <xdr:from>
      <xdr:col>31</xdr:col>
      <xdr:colOff>613404</xdr:colOff>
      <xdr:row>31</xdr:row>
      <xdr:rowOff>174680</xdr:rowOff>
    </xdr:from>
    <xdr:to>
      <xdr:col>44</xdr:col>
      <xdr:colOff>492449</xdr:colOff>
      <xdr:row>57</xdr:row>
      <xdr:rowOff>56076</xdr:rowOff>
    </xdr:to>
    <xdr:sp macro="" textlink="">
      <xdr:nvSpPr>
        <xdr:cNvPr id="69" name="Rectangle: Rounded Corners 68">
          <a:extLst>
            <a:ext uri="{FF2B5EF4-FFF2-40B4-BE49-F238E27FC236}">
              <a16:creationId xmlns:a16="http://schemas.microsoft.com/office/drawing/2014/main" id="{1B00CB55-3077-4A94-BEAA-B4FE48899DF6}"/>
            </a:ext>
          </a:extLst>
        </xdr:cNvPr>
        <xdr:cNvSpPr/>
      </xdr:nvSpPr>
      <xdr:spPr>
        <a:xfrm>
          <a:off x="21101873" y="5798966"/>
          <a:ext cx="8470984" cy="4598539"/>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33</xdr:col>
      <xdr:colOff>12214</xdr:colOff>
      <xdr:row>32</xdr:row>
      <xdr:rowOff>100646</xdr:rowOff>
    </xdr:from>
    <xdr:to>
      <xdr:col>39</xdr:col>
      <xdr:colOff>29800</xdr:colOff>
      <xdr:row>35</xdr:row>
      <xdr:rowOff>122928</xdr:rowOff>
    </xdr:to>
    <xdr:sp macro="" textlink="">
      <xdr:nvSpPr>
        <xdr:cNvPr id="70" name="TextBox 69">
          <a:extLst>
            <a:ext uri="{FF2B5EF4-FFF2-40B4-BE49-F238E27FC236}">
              <a16:creationId xmlns:a16="http://schemas.microsoft.com/office/drawing/2014/main" id="{6C541116-C29C-4E5E-A5FB-34F35891DE08}"/>
            </a:ext>
          </a:extLst>
        </xdr:cNvPr>
        <xdr:cNvSpPr txBox="1"/>
      </xdr:nvSpPr>
      <xdr:spPr>
        <a:xfrm>
          <a:off x="21822520" y="5906360"/>
          <a:ext cx="3983096" cy="566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800" b="0" i="0">
              <a:solidFill>
                <a:schemeClr val="dk1"/>
              </a:solidFill>
              <a:effectLst/>
              <a:latin typeface="Segoe UI Black" panose="020B0A02040204020203" pitchFamily="34" charset="0"/>
              <a:ea typeface="Segoe UI Black" panose="020B0A02040204020203" pitchFamily="34" charset="0"/>
              <a:cs typeface="+mn-cs"/>
            </a:rPr>
            <a:t>TOP 5 PRODUCTS</a:t>
          </a:r>
        </a:p>
        <a:p>
          <a:pPr marL="0" indent="0"/>
          <a:endParaRPr lang="en-US" sz="2800" b="0" i="0">
            <a:solidFill>
              <a:schemeClr val="dk1"/>
            </a:solidFill>
            <a:effectLst/>
            <a:latin typeface="Segoe UI Black" panose="020B0A02040204020203" pitchFamily="34" charset="0"/>
            <a:ea typeface="Segoe UI Black" panose="020B0A02040204020203" pitchFamily="34" charset="0"/>
            <a:cs typeface="+mn-cs"/>
          </a:endParaRPr>
        </a:p>
      </xdr:txBody>
    </xdr:sp>
    <xdr:clientData/>
  </xdr:twoCellAnchor>
  <xdr:twoCellAnchor>
    <xdr:from>
      <xdr:col>0</xdr:col>
      <xdr:colOff>178245</xdr:colOff>
      <xdr:row>58</xdr:row>
      <xdr:rowOff>77982</xdr:rowOff>
    </xdr:from>
    <xdr:to>
      <xdr:col>17</xdr:col>
      <xdr:colOff>324254</xdr:colOff>
      <xdr:row>83</xdr:row>
      <xdr:rowOff>122544</xdr:rowOff>
    </xdr:to>
    <xdr:sp macro="" textlink="">
      <xdr:nvSpPr>
        <xdr:cNvPr id="72" name="Rectangle: Rounded Corners 71">
          <a:extLst>
            <a:ext uri="{FF2B5EF4-FFF2-40B4-BE49-F238E27FC236}">
              <a16:creationId xmlns:a16="http://schemas.microsoft.com/office/drawing/2014/main" id="{446AA8A6-B92B-4C77-883B-773F2CACF334}"/>
            </a:ext>
          </a:extLst>
        </xdr:cNvPr>
        <xdr:cNvSpPr/>
      </xdr:nvSpPr>
      <xdr:spPr>
        <a:xfrm>
          <a:off x="178245" y="10265003"/>
          <a:ext cx="11400371" cy="4435520"/>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178246</xdr:colOff>
      <xdr:row>61</xdr:row>
      <xdr:rowOff>2601</xdr:rowOff>
    </xdr:from>
    <xdr:to>
      <xdr:col>17</xdr:col>
      <xdr:colOff>166820</xdr:colOff>
      <xdr:row>82</xdr:row>
      <xdr:rowOff>144825</xdr:rowOff>
    </xdr:to>
    <xdr:graphicFrame macro="">
      <xdr:nvGraphicFramePr>
        <xdr:cNvPr id="73" name="Chart 72">
          <a:extLst>
            <a:ext uri="{FF2B5EF4-FFF2-40B4-BE49-F238E27FC236}">
              <a16:creationId xmlns:a16="http://schemas.microsoft.com/office/drawing/2014/main" id="{26BDA367-7630-41FF-A81B-B88C2FC8CE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499893</xdr:colOff>
      <xdr:row>58</xdr:row>
      <xdr:rowOff>34340</xdr:rowOff>
    </xdr:from>
    <xdr:to>
      <xdr:col>31</xdr:col>
      <xdr:colOff>391807</xdr:colOff>
      <xdr:row>83</xdr:row>
      <xdr:rowOff>97164</xdr:rowOff>
    </xdr:to>
    <xdr:sp macro="" textlink="">
      <xdr:nvSpPr>
        <xdr:cNvPr id="75" name="Rectangle: Rounded Corners 74">
          <a:extLst>
            <a:ext uri="{FF2B5EF4-FFF2-40B4-BE49-F238E27FC236}">
              <a16:creationId xmlns:a16="http://schemas.microsoft.com/office/drawing/2014/main" id="{33DFC3E4-BD26-4DD7-AD0F-D704402AD5F6}"/>
            </a:ext>
          </a:extLst>
        </xdr:cNvPr>
        <xdr:cNvSpPr/>
      </xdr:nvSpPr>
      <xdr:spPr>
        <a:xfrm>
          <a:off x="11754255" y="10221361"/>
          <a:ext cx="9160212" cy="4453782"/>
        </a:xfrm>
        <a:prstGeom prst="roundRect">
          <a:avLst>
            <a:gd name="adj" fmla="val 8285"/>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660820</xdr:colOff>
      <xdr:row>58</xdr:row>
      <xdr:rowOff>148617</xdr:rowOff>
    </xdr:from>
    <xdr:to>
      <xdr:col>31</xdr:col>
      <xdr:colOff>229680</xdr:colOff>
      <xdr:row>82</xdr:row>
      <xdr:rowOff>143136</xdr:rowOff>
    </xdr:to>
    <xdr:graphicFrame macro="">
      <xdr:nvGraphicFramePr>
        <xdr:cNvPr id="76" name="Chart 75">
          <a:extLst>
            <a:ext uri="{FF2B5EF4-FFF2-40B4-BE49-F238E27FC236}">
              <a16:creationId xmlns:a16="http://schemas.microsoft.com/office/drawing/2014/main" id="{610E2034-A505-4461-B272-879F3665A2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75024</xdr:colOff>
      <xdr:row>35</xdr:row>
      <xdr:rowOff>115797</xdr:rowOff>
    </xdr:from>
    <xdr:to>
      <xdr:col>44</xdr:col>
      <xdr:colOff>400513</xdr:colOff>
      <xdr:row>56</xdr:row>
      <xdr:rowOff>130048</xdr:rowOff>
    </xdr:to>
    <xdr:graphicFrame macro="">
      <xdr:nvGraphicFramePr>
        <xdr:cNvPr id="77" name="Chart 76">
          <a:extLst>
            <a:ext uri="{FF2B5EF4-FFF2-40B4-BE49-F238E27FC236}">
              <a16:creationId xmlns:a16="http://schemas.microsoft.com/office/drawing/2014/main" id="{514F9E93-2A84-41D7-8E32-5A4C3F5F0B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569353</xdr:colOff>
      <xdr:row>58</xdr:row>
      <xdr:rowOff>15610</xdr:rowOff>
    </xdr:from>
    <xdr:to>
      <xdr:col>44</xdr:col>
      <xdr:colOff>445850</xdr:colOff>
      <xdr:row>83</xdr:row>
      <xdr:rowOff>78434</xdr:rowOff>
    </xdr:to>
    <xdr:sp macro="" textlink="">
      <xdr:nvSpPr>
        <xdr:cNvPr id="78" name="Rectangle: Rounded Corners 77">
          <a:extLst>
            <a:ext uri="{FF2B5EF4-FFF2-40B4-BE49-F238E27FC236}">
              <a16:creationId xmlns:a16="http://schemas.microsoft.com/office/drawing/2014/main" id="{916759A4-D7B8-4AEF-82EF-8AC77A0B90C2}"/>
            </a:ext>
          </a:extLst>
        </xdr:cNvPr>
        <xdr:cNvSpPr/>
      </xdr:nvSpPr>
      <xdr:spPr>
        <a:xfrm>
          <a:off x="21092013" y="10202631"/>
          <a:ext cx="8482773" cy="4453782"/>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7596</xdr:colOff>
      <xdr:row>59</xdr:row>
      <xdr:rowOff>54042</xdr:rowOff>
    </xdr:from>
    <xdr:to>
      <xdr:col>44</xdr:col>
      <xdr:colOff>315144</xdr:colOff>
      <xdr:row>82</xdr:row>
      <xdr:rowOff>33421</xdr:rowOff>
    </xdr:to>
    <xdr:graphicFrame macro="">
      <xdr:nvGraphicFramePr>
        <xdr:cNvPr id="79" name="Chart 78">
          <a:extLst>
            <a:ext uri="{FF2B5EF4-FFF2-40B4-BE49-F238E27FC236}">
              <a16:creationId xmlns:a16="http://schemas.microsoft.com/office/drawing/2014/main" id="{ECBCC858-A9D9-42DA-9974-8BC482D7C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115193</xdr:colOff>
      <xdr:row>57</xdr:row>
      <xdr:rowOff>134846</xdr:rowOff>
    </xdr:from>
    <xdr:to>
      <xdr:col>40</xdr:col>
      <xdr:colOff>233672</xdr:colOff>
      <xdr:row>60</xdr:row>
      <xdr:rowOff>157128</xdr:rowOff>
    </xdr:to>
    <xdr:sp macro="" textlink="">
      <xdr:nvSpPr>
        <xdr:cNvPr id="80" name="TextBox 79">
          <a:extLst>
            <a:ext uri="{FF2B5EF4-FFF2-40B4-BE49-F238E27FC236}">
              <a16:creationId xmlns:a16="http://schemas.microsoft.com/office/drawing/2014/main" id="{599E2EB1-F8FE-46C8-A1B3-C65329804618}"/>
            </a:ext>
          </a:extLst>
        </xdr:cNvPr>
        <xdr:cNvSpPr txBox="1"/>
      </xdr:nvSpPr>
      <xdr:spPr>
        <a:xfrm>
          <a:off x="21299874" y="10146229"/>
          <a:ext cx="5414649" cy="5491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800" b="0" i="0">
              <a:solidFill>
                <a:schemeClr val="dk1"/>
              </a:solidFill>
              <a:effectLst/>
              <a:latin typeface="Segoe UI Black" panose="020B0A02040204020203" pitchFamily="34" charset="0"/>
              <a:ea typeface="Segoe UI Black" panose="020B0A02040204020203" pitchFamily="34" charset="0"/>
              <a:cs typeface="+mn-cs"/>
            </a:rPr>
            <a:t>SALES REP LEADERBOARD</a:t>
          </a:r>
        </a:p>
        <a:p>
          <a:pPr marL="0" indent="0"/>
          <a:endParaRPr lang="en-US" sz="2800" b="0" i="0">
            <a:solidFill>
              <a:schemeClr val="dk1"/>
            </a:solidFill>
            <a:effectLst/>
            <a:latin typeface="Segoe UI Black" panose="020B0A02040204020203" pitchFamily="34" charset="0"/>
            <a:ea typeface="Segoe UI Black" panose="020B0A02040204020203" pitchFamily="34" charset="0"/>
            <a:cs typeface="+mn-cs"/>
          </a:endParaRPr>
        </a:p>
      </xdr:txBody>
    </xdr:sp>
    <xdr:clientData/>
  </xdr:twoCellAnchor>
  <xdr:twoCellAnchor>
    <xdr:from>
      <xdr:col>17</xdr:col>
      <xdr:colOff>598002</xdr:colOff>
      <xdr:row>58</xdr:row>
      <xdr:rowOff>123462</xdr:rowOff>
    </xdr:from>
    <xdr:to>
      <xdr:col>24</xdr:col>
      <xdr:colOff>304227</xdr:colOff>
      <xdr:row>61</xdr:row>
      <xdr:rowOff>143136</xdr:rowOff>
    </xdr:to>
    <xdr:sp macro="" textlink="">
      <xdr:nvSpPr>
        <xdr:cNvPr id="81" name="TextBox 80">
          <a:extLst>
            <a:ext uri="{FF2B5EF4-FFF2-40B4-BE49-F238E27FC236}">
              <a16:creationId xmlns:a16="http://schemas.microsoft.com/office/drawing/2014/main" id="{E611E2DF-C3F3-4573-AB70-035D5F9C9385}"/>
            </a:ext>
          </a:extLst>
        </xdr:cNvPr>
        <xdr:cNvSpPr txBox="1"/>
      </xdr:nvSpPr>
      <xdr:spPr>
        <a:xfrm>
          <a:off x="11852364" y="10310483"/>
          <a:ext cx="4340374" cy="54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CHANNEL MIX</a:t>
          </a:r>
        </a:p>
      </xdr:txBody>
    </xdr:sp>
    <xdr:clientData/>
  </xdr:twoCellAnchor>
  <xdr:twoCellAnchor>
    <xdr:from>
      <xdr:col>0</xdr:col>
      <xdr:colOff>442049</xdr:colOff>
      <xdr:row>58</xdr:row>
      <xdr:rowOff>7583</xdr:rowOff>
    </xdr:from>
    <xdr:to>
      <xdr:col>10</xdr:col>
      <xdr:colOff>85558</xdr:colOff>
      <xdr:row>61</xdr:row>
      <xdr:rowOff>29865</xdr:rowOff>
    </xdr:to>
    <xdr:sp macro="" textlink="">
      <xdr:nvSpPr>
        <xdr:cNvPr id="83" name="TextBox 82">
          <a:extLst>
            <a:ext uri="{FF2B5EF4-FFF2-40B4-BE49-F238E27FC236}">
              <a16:creationId xmlns:a16="http://schemas.microsoft.com/office/drawing/2014/main" id="{36A1B273-0F0C-4B88-BCAC-2F0330C4ACC0}"/>
            </a:ext>
          </a:extLst>
        </xdr:cNvPr>
        <xdr:cNvSpPr txBox="1"/>
      </xdr:nvSpPr>
      <xdr:spPr>
        <a:xfrm>
          <a:off x="442049" y="10345829"/>
          <a:ext cx="6216316" cy="557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Segoe UI Black" panose="020B0A02040204020203" pitchFamily="34" charset="0"/>
              <a:ea typeface="Segoe UI Black" panose="020B0A02040204020203" pitchFamily="34" charset="0"/>
              <a:cs typeface="+mn-cs"/>
            </a:rPr>
            <a:t>Monthly Profit</a:t>
          </a:r>
          <a:r>
            <a:rPr lang="en-US" sz="2800" b="0" i="0" baseline="0">
              <a:solidFill>
                <a:schemeClr val="dk1"/>
              </a:solidFill>
              <a:effectLst/>
              <a:latin typeface="Segoe UI Black" panose="020B0A02040204020203" pitchFamily="34" charset="0"/>
              <a:ea typeface="Segoe UI Black" panose="020B0A02040204020203" pitchFamily="34" charset="0"/>
              <a:cs typeface="+mn-cs"/>
            </a:rPr>
            <a:t> </a:t>
          </a:r>
          <a:r>
            <a:rPr lang="en-US" sz="2800" b="0" i="0">
              <a:solidFill>
                <a:schemeClr val="dk1"/>
              </a:solidFill>
              <a:effectLst/>
              <a:latin typeface="Segoe UI Black" panose="020B0A02040204020203" pitchFamily="34" charset="0"/>
              <a:ea typeface="Segoe UI Black" panose="020B0A02040204020203" pitchFamily="34" charset="0"/>
              <a:cs typeface="+mn-cs"/>
            </a:rPr>
            <a:t>Trend</a:t>
          </a:r>
        </a:p>
      </xdr:txBody>
    </xdr:sp>
    <xdr:clientData/>
  </xdr:twoCellAnchor>
  <xdr:twoCellAnchor>
    <xdr:from>
      <xdr:col>39</xdr:col>
      <xdr:colOff>224420</xdr:colOff>
      <xdr:row>19</xdr:row>
      <xdr:rowOff>104135</xdr:rowOff>
    </xdr:from>
    <xdr:to>
      <xdr:col>44</xdr:col>
      <xdr:colOff>432022</xdr:colOff>
      <xdr:row>29</xdr:row>
      <xdr:rowOff>147625</xdr:rowOff>
    </xdr:to>
    <xdr:sp macro="" textlink="">
      <xdr:nvSpPr>
        <xdr:cNvPr id="85" name="Rectangle: Rounded Corners 84">
          <a:extLst>
            <a:ext uri="{FF2B5EF4-FFF2-40B4-BE49-F238E27FC236}">
              <a16:creationId xmlns:a16="http://schemas.microsoft.com/office/drawing/2014/main" id="{7FFFA99E-3314-454C-8C56-D6C40788D21E}"/>
            </a:ext>
          </a:extLst>
        </xdr:cNvPr>
        <xdr:cNvSpPr/>
      </xdr:nvSpPr>
      <xdr:spPr>
        <a:xfrm>
          <a:off x="26000236" y="3551278"/>
          <a:ext cx="3512194" cy="1857776"/>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39</xdr:col>
      <xdr:colOff>447608</xdr:colOff>
      <xdr:row>19</xdr:row>
      <xdr:rowOff>139190</xdr:rowOff>
    </xdr:from>
    <xdr:to>
      <xdr:col>43</xdr:col>
      <xdr:colOff>562268</xdr:colOff>
      <xdr:row>22</xdr:row>
      <xdr:rowOff>179111</xdr:rowOff>
    </xdr:to>
    <xdr:sp macro="" textlink="">
      <xdr:nvSpPr>
        <xdr:cNvPr id="86" name="TextBox 85">
          <a:extLst>
            <a:ext uri="{FF2B5EF4-FFF2-40B4-BE49-F238E27FC236}">
              <a16:creationId xmlns:a16="http://schemas.microsoft.com/office/drawing/2014/main" id="{12F38257-196B-498B-882F-950B7AA580DC}"/>
            </a:ext>
          </a:extLst>
        </xdr:cNvPr>
        <xdr:cNvSpPr txBox="1"/>
      </xdr:nvSpPr>
      <xdr:spPr>
        <a:xfrm>
          <a:off x="26223424" y="3586333"/>
          <a:ext cx="2758334" cy="584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Discount</a:t>
          </a:r>
          <a:endParaRPr lang="en-US" sz="3200" b="1">
            <a:solidFill>
              <a:schemeClr val="tx1"/>
            </a:solidFill>
            <a:latin typeface="Segoe UI" panose="020B0502040204020203" pitchFamily="34" charset="0"/>
            <a:ea typeface="+mn-ea"/>
            <a:cs typeface="Segoe UI" panose="020B0502040204020203" pitchFamily="34" charset="0"/>
          </a:endParaRPr>
        </a:p>
      </xdr:txBody>
    </xdr:sp>
    <xdr:clientData/>
  </xdr:twoCellAnchor>
  <xdr:twoCellAnchor>
    <xdr:from>
      <xdr:col>39</xdr:col>
      <xdr:colOff>316500</xdr:colOff>
      <xdr:row>23</xdr:row>
      <xdr:rowOff>127177</xdr:rowOff>
    </xdr:from>
    <xdr:to>
      <xdr:col>44</xdr:col>
      <xdr:colOff>103081</xdr:colOff>
      <xdr:row>26</xdr:row>
      <xdr:rowOff>167098</xdr:rowOff>
    </xdr:to>
    <xdr:sp macro="" textlink="Pivot_Tables!J38">
      <xdr:nvSpPr>
        <xdr:cNvPr id="87" name="TextBox 86">
          <a:extLst>
            <a:ext uri="{FF2B5EF4-FFF2-40B4-BE49-F238E27FC236}">
              <a16:creationId xmlns:a16="http://schemas.microsoft.com/office/drawing/2014/main" id="{1AE64112-5F7E-4EF5-AB29-32C313125ABC}"/>
            </a:ext>
          </a:extLst>
        </xdr:cNvPr>
        <xdr:cNvSpPr txBox="1"/>
      </xdr:nvSpPr>
      <xdr:spPr>
        <a:xfrm>
          <a:off x="26092316" y="4300034"/>
          <a:ext cx="3091173" cy="584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06E087F-6040-4E8E-8B01-A4D02C4A244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6.06%</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29</xdr:col>
      <xdr:colOff>215146</xdr:colOff>
      <xdr:row>1</xdr:row>
      <xdr:rowOff>149406</xdr:rowOff>
    </xdr:from>
    <xdr:to>
      <xdr:col>35</xdr:col>
      <xdr:colOff>13230</xdr:colOff>
      <xdr:row>6</xdr:row>
      <xdr:rowOff>7</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664073EF-8316-432F-B1B1-9020F3876D2B}"/>
            </a:ext>
          </a:extLst>
        </xdr:cNvPr>
        <xdr:cNvSpPr/>
      </xdr:nvSpPr>
      <xdr:spPr>
        <a:xfrm>
          <a:off x="19397438" y="321385"/>
          <a:ext cx="3766834"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EXECUTIVE SUMMARY</a:t>
          </a:r>
        </a:p>
      </xdr:txBody>
    </xdr:sp>
    <xdr:clientData/>
  </xdr:twoCellAnchor>
  <xdr:twoCellAnchor>
    <xdr:from>
      <xdr:col>35</xdr:col>
      <xdr:colOff>129432</xdr:colOff>
      <xdr:row>1</xdr:row>
      <xdr:rowOff>143057</xdr:rowOff>
    </xdr:from>
    <xdr:to>
      <xdr:col>40</xdr:col>
      <xdr:colOff>132292</xdr:colOff>
      <xdr:row>5</xdr:row>
      <xdr:rowOff>165637</xdr:rowOff>
    </xdr:to>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34413DFF-9854-4A13-9B57-3DA28FEB5DF4}"/>
            </a:ext>
          </a:extLst>
        </xdr:cNvPr>
        <xdr:cNvSpPr/>
      </xdr:nvSpPr>
      <xdr:spPr>
        <a:xfrm>
          <a:off x="23280474" y="315036"/>
          <a:ext cx="3310151"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DETAILED ANALYSIS</a:t>
          </a:r>
        </a:p>
      </xdr:txBody>
    </xdr:sp>
    <xdr:clientData/>
  </xdr:twoCellAnchor>
  <xdr:twoCellAnchor>
    <xdr:from>
      <xdr:col>40</xdr:col>
      <xdr:colOff>189229</xdr:colOff>
      <xdr:row>2</xdr:row>
      <xdr:rowOff>4416</xdr:rowOff>
    </xdr:from>
    <xdr:to>
      <xdr:col>44</xdr:col>
      <xdr:colOff>277813</xdr:colOff>
      <xdr:row>6</xdr:row>
      <xdr:rowOff>26996</xdr:rowOff>
    </xdr:to>
    <xdr:sp macro="[0]!ExportDashboardToPDF" textlink="">
      <xdr:nvSpPr>
        <xdr:cNvPr id="24" name="Rectangle: Rounded Corners 23">
          <a:extLst>
            <a:ext uri="{FF2B5EF4-FFF2-40B4-BE49-F238E27FC236}">
              <a16:creationId xmlns:a16="http://schemas.microsoft.com/office/drawing/2014/main" id="{2B7A60EC-B06E-4345-9540-E9A6A9E97782}"/>
            </a:ext>
          </a:extLst>
        </xdr:cNvPr>
        <xdr:cNvSpPr/>
      </xdr:nvSpPr>
      <xdr:spPr>
        <a:xfrm>
          <a:off x="26647562" y="348374"/>
          <a:ext cx="2734418"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PDF</a:t>
          </a:r>
          <a:r>
            <a:rPr lang="en-US" sz="2000" baseline="0">
              <a:solidFill>
                <a:srgbClr val="75162D"/>
              </a:solidFill>
              <a:latin typeface="Segoe UI Black" panose="020B0A02040204020203" pitchFamily="34" charset="0"/>
              <a:ea typeface="Segoe UI Black" panose="020B0A02040204020203" pitchFamily="34" charset="0"/>
              <a:cs typeface="+mn-cs"/>
            </a:rPr>
            <a:t> Export</a:t>
          </a:r>
          <a:endParaRPr lang="en-US" sz="2000">
            <a:solidFill>
              <a:srgbClr val="75162D"/>
            </a:solidFill>
            <a:latin typeface="Segoe UI Black" panose="020B0A02040204020203" pitchFamily="34" charset="0"/>
            <a:ea typeface="Segoe UI Black" panose="020B0A02040204020203" pitchFamily="34" charset="0"/>
            <a:cs typeface="+mn-cs"/>
          </a:endParaRPr>
        </a:p>
      </xdr:txBody>
    </xdr:sp>
    <xdr:clientData/>
  </xdr:twoCellAnchor>
  <xdr:twoCellAnchor editAs="oneCell">
    <xdr:from>
      <xdr:col>0</xdr:col>
      <xdr:colOff>404755</xdr:colOff>
      <xdr:row>1</xdr:row>
      <xdr:rowOff>115455</xdr:rowOff>
    </xdr:from>
    <xdr:to>
      <xdr:col>4</xdr:col>
      <xdr:colOff>360795</xdr:colOff>
      <xdr:row>6</xdr:row>
      <xdr:rowOff>28864</xdr:rowOff>
    </xdr:to>
    <xdr:pic>
      <xdr:nvPicPr>
        <xdr:cNvPr id="40" name="Picture 39">
          <a:extLst>
            <a:ext uri="{FF2B5EF4-FFF2-40B4-BE49-F238E27FC236}">
              <a16:creationId xmlns:a16="http://schemas.microsoft.com/office/drawing/2014/main" id="{7BC88E1C-DE3E-C4D7-7277-A637A2C6BFC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4755" y="288637"/>
          <a:ext cx="2611495" cy="779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80390</xdr:colOff>
      <xdr:row>1</xdr:row>
      <xdr:rowOff>41835</xdr:rowOff>
    </xdr:from>
    <xdr:to>
      <xdr:col>45</xdr:col>
      <xdr:colOff>158059</xdr:colOff>
      <xdr:row>108</xdr:row>
      <xdr:rowOff>107830</xdr:rowOff>
    </xdr:to>
    <xdr:sp macro="" textlink="">
      <xdr:nvSpPr>
        <xdr:cNvPr id="2" name="Rectangle: Rounded Corners 1">
          <a:extLst>
            <a:ext uri="{FF2B5EF4-FFF2-40B4-BE49-F238E27FC236}">
              <a16:creationId xmlns:a16="http://schemas.microsoft.com/office/drawing/2014/main" id="{ABAAD1DF-0AEC-4C1F-8F1B-22D7E8BA3595}"/>
            </a:ext>
          </a:extLst>
        </xdr:cNvPr>
        <xdr:cNvSpPr/>
      </xdr:nvSpPr>
      <xdr:spPr>
        <a:xfrm>
          <a:off x="80390" y="221552"/>
          <a:ext cx="29730971" cy="19271750"/>
        </a:xfrm>
        <a:prstGeom prst="roundRect">
          <a:avLst>
            <a:gd name="adj" fmla="val 2986"/>
          </a:avLst>
        </a:prstGeom>
        <a:solidFill>
          <a:srgbClr val="F37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133684</xdr:colOff>
      <xdr:row>18</xdr:row>
      <xdr:rowOff>155974</xdr:rowOff>
    </xdr:from>
    <xdr:to>
      <xdr:col>44</xdr:col>
      <xdr:colOff>635000</xdr:colOff>
      <xdr:row>30</xdr:row>
      <xdr:rowOff>111414</xdr:rowOff>
    </xdr:to>
    <xdr:sp macro="" textlink="">
      <xdr:nvSpPr>
        <xdr:cNvPr id="6" name="Rectangle: Rounded Corners 5">
          <a:extLst>
            <a:ext uri="{FF2B5EF4-FFF2-40B4-BE49-F238E27FC236}">
              <a16:creationId xmlns:a16="http://schemas.microsoft.com/office/drawing/2014/main" id="{3E543BD8-CA04-9B23-4418-F0943A9060DE}"/>
            </a:ext>
          </a:extLst>
        </xdr:cNvPr>
        <xdr:cNvSpPr/>
      </xdr:nvSpPr>
      <xdr:spPr>
        <a:xfrm>
          <a:off x="133684" y="3233282"/>
          <a:ext cx="29515931" cy="2006978"/>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334861</xdr:colOff>
      <xdr:row>19</xdr:row>
      <xdr:rowOff>95614</xdr:rowOff>
    </xdr:from>
    <xdr:to>
      <xdr:col>39</xdr:col>
      <xdr:colOff>89206</xdr:colOff>
      <xdr:row>29</xdr:row>
      <xdr:rowOff>150855</xdr:rowOff>
    </xdr:to>
    <xdr:grpSp>
      <xdr:nvGrpSpPr>
        <xdr:cNvPr id="63" name="Group 62">
          <a:extLst>
            <a:ext uri="{FF2B5EF4-FFF2-40B4-BE49-F238E27FC236}">
              <a16:creationId xmlns:a16="http://schemas.microsoft.com/office/drawing/2014/main" id="{23A14747-E3D5-D55F-427C-AA541FCC25D4}"/>
            </a:ext>
          </a:extLst>
        </xdr:cNvPr>
        <xdr:cNvGrpSpPr/>
      </xdr:nvGrpSpPr>
      <xdr:grpSpPr>
        <a:xfrm>
          <a:off x="334861" y="3447003"/>
          <a:ext cx="25207262" cy="1819130"/>
          <a:chOff x="334861" y="3343883"/>
          <a:chExt cx="25471845" cy="1764857"/>
        </a:xfrm>
      </xdr:grpSpPr>
      <xdr:sp macro="" textlink="">
        <xdr:nvSpPr>
          <xdr:cNvPr id="7" name="Rectangle: Rounded Corners 6">
            <a:extLst>
              <a:ext uri="{FF2B5EF4-FFF2-40B4-BE49-F238E27FC236}">
                <a16:creationId xmlns:a16="http://schemas.microsoft.com/office/drawing/2014/main" id="{0E434000-76AF-AE81-154F-263DDDF82AA2}"/>
              </a:ext>
            </a:extLst>
          </xdr:cNvPr>
          <xdr:cNvSpPr/>
        </xdr:nvSpPr>
        <xdr:spPr>
          <a:xfrm>
            <a:off x="334861" y="3393414"/>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D1C8902E-DA47-7283-4B78-06FBF5321DE0}"/>
              </a:ext>
            </a:extLst>
          </xdr:cNvPr>
          <xdr:cNvSpPr/>
        </xdr:nvSpPr>
        <xdr:spPr>
          <a:xfrm>
            <a:off x="3997189" y="3389998"/>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0B948FFA-4735-7A0F-388B-F59A87AB3D4A}"/>
              </a:ext>
            </a:extLst>
          </xdr:cNvPr>
          <xdr:cNvSpPr/>
        </xdr:nvSpPr>
        <xdr:spPr>
          <a:xfrm>
            <a:off x="7670692" y="3365231"/>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31DA243C-A9A6-37F1-8FD5-77D9EF4C5808}"/>
              </a:ext>
            </a:extLst>
          </xdr:cNvPr>
          <xdr:cNvSpPr/>
        </xdr:nvSpPr>
        <xdr:spPr>
          <a:xfrm>
            <a:off x="11295468" y="3389998"/>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 name="TextBox 10">
            <a:extLst>
              <a:ext uri="{FF2B5EF4-FFF2-40B4-BE49-F238E27FC236}">
                <a16:creationId xmlns:a16="http://schemas.microsoft.com/office/drawing/2014/main" id="{BE3BC8C4-0DE4-D9F1-3F5C-51BEECF8ECBA}"/>
              </a:ext>
            </a:extLst>
          </xdr:cNvPr>
          <xdr:cNvSpPr txBox="1"/>
        </xdr:nvSpPr>
        <xdr:spPr>
          <a:xfrm>
            <a:off x="547219" y="3404092"/>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Total REVENUE</a:t>
            </a:r>
          </a:p>
        </xdr:txBody>
      </xdr:sp>
      <xdr:sp macro="" textlink="Pivot_Tables!A5">
        <xdr:nvSpPr>
          <xdr:cNvPr id="12" name="TextBox 11">
            <a:extLst>
              <a:ext uri="{FF2B5EF4-FFF2-40B4-BE49-F238E27FC236}">
                <a16:creationId xmlns:a16="http://schemas.microsoft.com/office/drawing/2014/main" id="{ACD124F2-057E-EAE9-2EEF-CBBB807C1AF3}"/>
              </a:ext>
            </a:extLst>
          </xdr:cNvPr>
          <xdr:cNvSpPr txBox="1"/>
        </xdr:nvSpPr>
        <xdr:spPr>
          <a:xfrm>
            <a:off x="465408" y="3966481"/>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71D2DB-1BA2-4AD7-B98F-623555184F7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algn="ctr"/>
              <a:t>$102K</a:t>
            </a:fld>
            <a:endParaRPr lang="en-US" sz="4000" b="1">
              <a:solidFill>
                <a:schemeClr val="tx1"/>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13" name="TextBox 12">
            <a:extLst>
              <a:ext uri="{FF2B5EF4-FFF2-40B4-BE49-F238E27FC236}">
                <a16:creationId xmlns:a16="http://schemas.microsoft.com/office/drawing/2014/main" id="{3530BE6D-06E3-2785-5BA5-F37D5489CA79}"/>
              </a:ext>
            </a:extLst>
          </xdr:cNvPr>
          <xdr:cNvSpPr txBox="1"/>
        </xdr:nvSpPr>
        <xdr:spPr>
          <a:xfrm>
            <a:off x="4220727" y="3411352"/>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Total PROFIT</a:t>
            </a:r>
          </a:p>
        </xdr:txBody>
      </xdr:sp>
      <xdr:sp macro="" textlink="Pivot_Tables!I5">
        <xdr:nvSpPr>
          <xdr:cNvPr id="14" name="TextBox 13">
            <a:extLst>
              <a:ext uri="{FF2B5EF4-FFF2-40B4-BE49-F238E27FC236}">
                <a16:creationId xmlns:a16="http://schemas.microsoft.com/office/drawing/2014/main" id="{8611AAF0-884C-F1AE-A02D-9656550A279B}"/>
              </a:ext>
            </a:extLst>
          </xdr:cNvPr>
          <xdr:cNvSpPr txBox="1"/>
        </xdr:nvSpPr>
        <xdr:spPr>
          <a:xfrm>
            <a:off x="4049503" y="3995095"/>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CC8691-8B68-4B0B-86DE-0C6D0FECE2A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$39K</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15" name="TextBox 14">
            <a:extLst>
              <a:ext uri="{FF2B5EF4-FFF2-40B4-BE49-F238E27FC236}">
                <a16:creationId xmlns:a16="http://schemas.microsoft.com/office/drawing/2014/main" id="{2A8F70BF-D2D7-F259-EF75-C15E77D15383}"/>
              </a:ext>
            </a:extLst>
          </xdr:cNvPr>
          <xdr:cNvSpPr txBox="1"/>
        </xdr:nvSpPr>
        <xdr:spPr>
          <a:xfrm>
            <a:off x="7827173" y="3397258"/>
            <a:ext cx="330422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dk1"/>
                </a:solidFill>
                <a:effectLst/>
                <a:latin typeface="+mn-lt"/>
                <a:ea typeface="+mn-ea"/>
                <a:cs typeface="+mn-cs"/>
              </a:rPr>
              <a:t>PROFIT </a:t>
            </a:r>
            <a:r>
              <a:rPr lang="en-US" sz="2800" b="1">
                <a:solidFill>
                  <a:schemeClr val="tx1"/>
                </a:solidFill>
                <a:latin typeface="Segoe UI" panose="020B0502040204020203" pitchFamily="34" charset="0"/>
                <a:cs typeface="Segoe UI" panose="020B0502040204020203" pitchFamily="34" charset="0"/>
              </a:rPr>
              <a:t>MARGIN%</a:t>
            </a:r>
          </a:p>
        </xdr:txBody>
      </xdr:sp>
      <xdr:sp macro="" textlink="Pivot_Tables!C65">
        <xdr:nvSpPr>
          <xdr:cNvPr id="16" name="TextBox 15">
            <a:extLst>
              <a:ext uri="{FF2B5EF4-FFF2-40B4-BE49-F238E27FC236}">
                <a16:creationId xmlns:a16="http://schemas.microsoft.com/office/drawing/2014/main" id="{49216741-70FE-463D-9152-0265D95892A6}"/>
              </a:ext>
            </a:extLst>
          </xdr:cNvPr>
          <xdr:cNvSpPr txBox="1"/>
        </xdr:nvSpPr>
        <xdr:spPr>
          <a:xfrm>
            <a:off x="7845955" y="3948979"/>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7B7B86-F6C2-47A9-B195-97427814CD50}"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Pivot_Tables!A10">
        <xdr:nvSpPr>
          <xdr:cNvPr id="17" name="TextBox 16">
            <a:extLst>
              <a:ext uri="{FF2B5EF4-FFF2-40B4-BE49-F238E27FC236}">
                <a16:creationId xmlns:a16="http://schemas.microsoft.com/office/drawing/2014/main" id="{A90275AA-0C00-5C29-E2AD-716DE9420C7D}"/>
              </a:ext>
            </a:extLst>
          </xdr:cNvPr>
          <xdr:cNvSpPr txBox="1"/>
        </xdr:nvSpPr>
        <xdr:spPr>
          <a:xfrm>
            <a:off x="11474761" y="3956237"/>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3AC304-F9BA-47BF-969E-9494259B3254}"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240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18" name="TextBox 17">
            <a:extLst>
              <a:ext uri="{FF2B5EF4-FFF2-40B4-BE49-F238E27FC236}">
                <a16:creationId xmlns:a16="http://schemas.microsoft.com/office/drawing/2014/main" id="{1CC0B000-0309-9DFC-C909-C4159D6537F7}"/>
              </a:ext>
            </a:extLst>
          </xdr:cNvPr>
          <xdr:cNvSpPr txBox="1"/>
        </xdr:nvSpPr>
        <xdr:spPr>
          <a:xfrm>
            <a:off x="11589635" y="3343883"/>
            <a:ext cx="3073547"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Total ORDERS</a:t>
            </a:r>
          </a:p>
        </xdr:txBody>
      </xdr:sp>
      <xdr:sp macro="" textlink="">
        <xdr:nvSpPr>
          <xdr:cNvPr id="19" name="Rectangle: Rounded Corners 18">
            <a:extLst>
              <a:ext uri="{FF2B5EF4-FFF2-40B4-BE49-F238E27FC236}">
                <a16:creationId xmlns:a16="http://schemas.microsoft.com/office/drawing/2014/main" id="{47CB4DF0-009C-4C48-BDDD-6A1C9E399D8F}"/>
              </a:ext>
            </a:extLst>
          </xdr:cNvPr>
          <xdr:cNvSpPr/>
        </xdr:nvSpPr>
        <xdr:spPr>
          <a:xfrm>
            <a:off x="14927912" y="3411350"/>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Rounded Corners 19">
            <a:extLst>
              <a:ext uri="{FF2B5EF4-FFF2-40B4-BE49-F238E27FC236}">
                <a16:creationId xmlns:a16="http://schemas.microsoft.com/office/drawing/2014/main" id="{AE8F6C73-360D-6173-6A13-E96967A022D3}"/>
              </a:ext>
            </a:extLst>
          </xdr:cNvPr>
          <xdr:cNvSpPr/>
        </xdr:nvSpPr>
        <xdr:spPr>
          <a:xfrm>
            <a:off x="18590239" y="3407933"/>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1" name="Rectangle: Rounded Corners 20">
            <a:extLst>
              <a:ext uri="{FF2B5EF4-FFF2-40B4-BE49-F238E27FC236}">
                <a16:creationId xmlns:a16="http://schemas.microsoft.com/office/drawing/2014/main" id="{E42D1F6E-0188-77F7-163A-90F5619F5B8E}"/>
              </a:ext>
            </a:extLst>
          </xdr:cNvPr>
          <xdr:cNvSpPr/>
        </xdr:nvSpPr>
        <xdr:spPr>
          <a:xfrm>
            <a:off x="22263743" y="3383167"/>
            <a:ext cx="3542963" cy="1697390"/>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2" name="TextBox 21">
            <a:extLst>
              <a:ext uri="{FF2B5EF4-FFF2-40B4-BE49-F238E27FC236}">
                <a16:creationId xmlns:a16="http://schemas.microsoft.com/office/drawing/2014/main" id="{B31BC6BB-AA19-9E68-FFC5-B97CE4A24898}"/>
              </a:ext>
            </a:extLst>
          </xdr:cNvPr>
          <xdr:cNvSpPr txBox="1"/>
        </xdr:nvSpPr>
        <xdr:spPr>
          <a:xfrm>
            <a:off x="15944978" y="3368644"/>
            <a:ext cx="1143580"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Segoe UI" panose="020B0502040204020203" pitchFamily="34" charset="0"/>
                <a:cs typeface="Segoe UI" panose="020B0502040204020203" pitchFamily="34" charset="0"/>
              </a:rPr>
              <a:t>AOV</a:t>
            </a:r>
          </a:p>
        </xdr:txBody>
      </xdr:sp>
      <xdr:sp macro="" textlink="Pivot_Tables!B11">
        <xdr:nvSpPr>
          <xdr:cNvPr id="23" name="TextBox 22">
            <a:extLst>
              <a:ext uri="{FF2B5EF4-FFF2-40B4-BE49-F238E27FC236}">
                <a16:creationId xmlns:a16="http://schemas.microsoft.com/office/drawing/2014/main" id="{18613FD2-303D-99D0-DE9E-0BE419F32018}"/>
              </a:ext>
            </a:extLst>
          </xdr:cNvPr>
          <xdr:cNvSpPr txBox="1"/>
        </xdr:nvSpPr>
        <xdr:spPr>
          <a:xfrm>
            <a:off x="15091987" y="3952389"/>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1F3A95-A5FE-44EF-B29F-E13C5DCF14C5}"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$425.40</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24" name="TextBox 23">
            <a:extLst>
              <a:ext uri="{FF2B5EF4-FFF2-40B4-BE49-F238E27FC236}">
                <a16:creationId xmlns:a16="http://schemas.microsoft.com/office/drawing/2014/main" id="{81DE86B0-E53B-3514-5862-D0618B2688B9}"/>
              </a:ext>
            </a:extLst>
          </xdr:cNvPr>
          <xdr:cNvSpPr txBox="1"/>
        </xdr:nvSpPr>
        <xdr:spPr>
          <a:xfrm>
            <a:off x="19216131" y="3386582"/>
            <a:ext cx="2521871"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a:t>
            </a:r>
            <a:r>
              <a:rPr lang="en-US" sz="3200" b="1">
                <a:solidFill>
                  <a:schemeClr val="tx1"/>
                </a:solidFill>
                <a:latin typeface="Segoe UI" panose="020B0502040204020203" pitchFamily="34" charset="0"/>
                <a:ea typeface="+mn-ea"/>
                <a:cs typeface="Segoe UI" panose="020B0502040204020203" pitchFamily="34" charset="0"/>
              </a:rPr>
              <a:t>Rating</a:t>
            </a:r>
          </a:p>
        </xdr:txBody>
      </xdr:sp>
      <xdr:sp macro="" textlink="Pivot_Tables!C97">
        <xdr:nvSpPr>
          <xdr:cNvPr id="25" name="TextBox 24">
            <a:extLst>
              <a:ext uri="{FF2B5EF4-FFF2-40B4-BE49-F238E27FC236}">
                <a16:creationId xmlns:a16="http://schemas.microsoft.com/office/drawing/2014/main" id="{CE918233-AA69-EAA8-C42E-7746C5255A95}"/>
              </a:ext>
            </a:extLst>
          </xdr:cNvPr>
          <xdr:cNvSpPr txBox="1"/>
        </xdr:nvSpPr>
        <xdr:spPr>
          <a:xfrm>
            <a:off x="18743137" y="4002353"/>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6973F6-8DAC-46F6-BBF0-297309C6480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4.3</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sp macro="" textlink="">
        <xdr:nvSpPr>
          <xdr:cNvPr id="26" name="TextBox 25">
            <a:extLst>
              <a:ext uri="{FF2B5EF4-FFF2-40B4-BE49-F238E27FC236}">
                <a16:creationId xmlns:a16="http://schemas.microsoft.com/office/drawing/2014/main" id="{5A89E029-0502-0D2A-86B1-56C6F35F96D8}"/>
              </a:ext>
            </a:extLst>
          </xdr:cNvPr>
          <xdr:cNvSpPr txBox="1"/>
        </xdr:nvSpPr>
        <xdr:spPr>
          <a:xfrm>
            <a:off x="22677286" y="3415196"/>
            <a:ext cx="2782499"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a:t>
            </a:r>
            <a:r>
              <a:rPr lang="en-US" sz="3200" b="1">
                <a:solidFill>
                  <a:schemeClr val="tx1"/>
                </a:solidFill>
                <a:latin typeface="Segoe UI" panose="020B0502040204020203" pitchFamily="34" charset="0"/>
                <a:ea typeface="+mn-ea"/>
                <a:cs typeface="Segoe UI" panose="020B0502040204020203" pitchFamily="34" charset="0"/>
              </a:rPr>
              <a:t>Delivery</a:t>
            </a:r>
          </a:p>
        </xdr:txBody>
      </xdr:sp>
      <xdr:sp macro="" textlink="Pivot_Tables!C97">
        <xdr:nvSpPr>
          <xdr:cNvPr id="27" name="TextBox 26">
            <a:extLst>
              <a:ext uri="{FF2B5EF4-FFF2-40B4-BE49-F238E27FC236}">
                <a16:creationId xmlns:a16="http://schemas.microsoft.com/office/drawing/2014/main" id="{7FA3B864-FB4D-7FB1-92BE-484CF20441AE}"/>
              </a:ext>
            </a:extLst>
          </xdr:cNvPr>
          <xdr:cNvSpPr txBox="1"/>
        </xdr:nvSpPr>
        <xdr:spPr>
          <a:xfrm>
            <a:off x="22394299" y="4084342"/>
            <a:ext cx="3118254" cy="533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6973F6-8DAC-46F6-BBF0-297309C6480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4.3</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grpSp>
    <xdr:clientData/>
  </xdr:twoCellAnchor>
  <xdr:twoCellAnchor>
    <xdr:from>
      <xdr:col>0</xdr:col>
      <xdr:colOff>144822</xdr:colOff>
      <xdr:row>32</xdr:row>
      <xdr:rowOff>93141</xdr:rowOff>
    </xdr:from>
    <xdr:to>
      <xdr:col>17</xdr:col>
      <xdr:colOff>95849</xdr:colOff>
      <xdr:row>57</xdr:row>
      <xdr:rowOff>155965</xdr:rowOff>
    </xdr:to>
    <xdr:sp macro="" textlink="">
      <xdr:nvSpPr>
        <xdr:cNvPr id="36" name="Rectangle: Rounded Corners 35">
          <a:extLst>
            <a:ext uri="{FF2B5EF4-FFF2-40B4-BE49-F238E27FC236}">
              <a16:creationId xmlns:a16="http://schemas.microsoft.com/office/drawing/2014/main" id="{6BF4CDAA-F49F-4F01-849D-916F054F8D56}"/>
            </a:ext>
          </a:extLst>
        </xdr:cNvPr>
        <xdr:cNvSpPr/>
      </xdr:nvSpPr>
      <xdr:spPr>
        <a:xfrm>
          <a:off x="144822" y="5844084"/>
          <a:ext cx="11153385" cy="4531787"/>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242157</xdr:colOff>
      <xdr:row>32</xdr:row>
      <xdr:rowOff>6549</xdr:rowOff>
    </xdr:from>
    <xdr:to>
      <xdr:col>30</xdr:col>
      <xdr:colOff>215660</xdr:colOff>
      <xdr:row>57</xdr:row>
      <xdr:rowOff>69373</xdr:rowOff>
    </xdr:to>
    <xdr:sp macro="" textlink="">
      <xdr:nvSpPr>
        <xdr:cNvPr id="38" name="Rectangle: Rounded Corners 37">
          <a:extLst>
            <a:ext uri="{FF2B5EF4-FFF2-40B4-BE49-F238E27FC236}">
              <a16:creationId xmlns:a16="http://schemas.microsoft.com/office/drawing/2014/main" id="{B922DBB8-9517-4B60-8622-3F6636861288}"/>
            </a:ext>
          </a:extLst>
        </xdr:cNvPr>
        <xdr:cNvSpPr/>
      </xdr:nvSpPr>
      <xdr:spPr>
        <a:xfrm>
          <a:off x="11444515" y="5757492"/>
          <a:ext cx="8540013" cy="4531787"/>
        </a:xfrm>
        <a:prstGeom prst="roundRect">
          <a:avLst>
            <a:gd name="adj" fmla="val 8285"/>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356491</xdr:colOff>
      <xdr:row>32</xdr:row>
      <xdr:rowOff>137895</xdr:rowOff>
    </xdr:from>
    <xdr:to>
      <xdr:col>10</xdr:col>
      <xdr:colOff>0</xdr:colOff>
      <xdr:row>35</xdr:row>
      <xdr:rowOff>160177</xdr:rowOff>
    </xdr:to>
    <xdr:sp macro="" textlink="">
      <xdr:nvSpPr>
        <xdr:cNvPr id="39" name="TextBox 38">
          <a:extLst>
            <a:ext uri="{FF2B5EF4-FFF2-40B4-BE49-F238E27FC236}">
              <a16:creationId xmlns:a16="http://schemas.microsoft.com/office/drawing/2014/main" id="{E2CEDA57-7189-4568-A91F-79FAAEDAA714}"/>
            </a:ext>
          </a:extLst>
        </xdr:cNvPr>
        <xdr:cNvSpPr txBox="1"/>
      </xdr:nvSpPr>
      <xdr:spPr>
        <a:xfrm>
          <a:off x="356491" y="5888838"/>
          <a:ext cx="6233132"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CATEGORY HEATMAP</a:t>
          </a:r>
        </a:p>
      </xdr:txBody>
    </xdr:sp>
    <xdr:clientData/>
  </xdr:twoCellAnchor>
  <xdr:twoCellAnchor>
    <xdr:from>
      <xdr:col>17</xdr:col>
      <xdr:colOff>587736</xdr:colOff>
      <xdr:row>32</xdr:row>
      <xdr:rowOff>118988</xdr:rowOff>
    </xdr:from>
    <xdr:to>
      <xdr:col>26</xdr:col>
      <xdr:colOff>431319</xdr:colOff>
      <xdr:row>35</xdr:row>
      <xdr:rowOff>141270</xdr:rowOff>
    </xdr:to>
    <xdr:sp macro="" textlink="">
      <xdr:nvSpPr>
        <xdr:cNvPr id="41" name="TextBox 40">
          <a:extLst>
            <a:ext uri="{FF2B5EF4-FFF2-40B4-BE49-F238E27FC236}">
              <a16:creationId xmlns:a16="http://schemas.microsoft.com/office/drawing/2014/main" id="{9B89661F-996F-4B9E-97FB-691841A9470F}"/>
            </a:ext>
          </a:extLst>
        </xdr:cNvPr>
        <xdr:cNvSpPr txBox="1"/>
      </xdr:nvSpPr>
      <xdr:spPr>
        <a:xfrm>
          <a:off x="11790094" y="5869931"/>
          <a:ext cx="5774244"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DISCOUNT VS MARGIN PROFIT</a:t>
          </a:r>
        </a:p>
      </xdr:txBody>
    </xdr:sp>
    <xdr:clientData/>
  </xdr:twoCellAnchor>
  <xdr:twoCellAnchor>
    <xdr:from>
      <xdr:col>30</xdr:col>
      <xdr:colOff>359434</xdr:colOff>
      <xdr:row>32</xdr:row>
      <xdr:rowOff>31150</xdr:rowOff>
    </xdr:from>
    <xdr:to>
      <xdr:col>44</xdr:col>
      <xdr:colOff>607884</xdr:colOff>
      <xdr:row>57</xdr:row>
      <xdr:rowOff>0</xdr:rowOff>
    </xdr:to>
    <xdr:sp macro="" textlink="">
      <xdr:nvSpPr>
        <xdr:cNvPr id="42" name="Rectangle: Rounded Corners 41">
          <a:extLst>
            <a:ext uri="{FF2B5EF4-FFF2-40B4-BE49-F238E27FC236}">
              <a16:creationId xmlns:a16="http://schemas.microsoft.com/office/drawing/2014/main" id="{3586ED9A-7E1E-4DF0-945A-35836D43F566}"/>
            </a:ext>
          </a:extLst>
        </xdr:cNvPr>
        <xdr:cNvSpPr/>
      </xdr:nvSpPr>
      <xdr:spPr>
        <a:xfrm>
          <a:off x="20128302" y="5782093"/>
          <a:ext cx="9473922" cy="4437813"/>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178245</xdr:colOff>
      <xdr:row>58</xdr:row>
      <xdr:rowOff>77982</xdr:rowOff>
    </xdr:from>
    <xdr:to>
      <xdr:col>17</xdr:col>
      <xdr:colOff>107830</xdr:colOff>
      <xdr:row>83</xdr:row>
      <xdr:rowOff>122544</xdr:rowOff>
    </xdr:to>
    <xdr:sp macro="" textlink="">
      <xdr:nvSpPr>
        <xdr:cNvPr id="44" name="Rectangle: Rounded Corners 43">
          <a:extLst>
            <a:ext uri="{FF2B5EF4-FFF2-40B4-BE49-F238E27FC236}">
              <a16:creationId xmlns:a16="http://schemas.microsoft.com/office/drawing/2014/main" id="{558D1242-5AA5-479B-90F9-006080AF7ACC}"/>
            </a:ext>
          </a:extLst>
        </xdr:cNvPr>
        <xdr:cNvSpPr/>
      </xdr:nvSpPr>
      <xdr:spPr>
        <a:xfrm>
          <a:off x="178245" y="10477605"/>
          <a:ext cx="11131943" cy="4537486"/>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310480</xdr:colOff>
      <xdr:row>58</xdr:row>
      <xdr:rowOff>38930</xdr:rowOff>
    </xdr:from>
    <xdr:to>
      <xdr:col>30</xdr:col>
      <xdr:colOff>71887</xdr:colOff>
      <xdr:row>83</xdr:row>
      <xdr:rowOff>101754</xdr:rowOff>
    </xdr:to>
    <xdr:sp macro="" textlink="">
      <xdr:nvSpPr>
        <xdr:cNvPr id="46" name="Rectangle: Rounded Corners 45">
          <a:extLst>
            <a:ext uri="{FF2B5EF4-FFF2-40B4-BE49-F238E27FC236}">
              <a16:creationId xmlns:a16="http://schemas.microsoft.com/office/drawing/2014/main" id="{395992C4-FBBE-403F-AA15-8026AF3F4FD2}"/>
            </a:ext>
          </a:extLst>
        </xdr:cNvPr>
        <xdr:cNvSpPr/>
      </xdr:nvSpPr>
      <xdr:spPr>
        <a:xfrm>
          <a:off x="11512838" y="10438553"/>
          <a:ext cx="8327917" cy="4555748"/>
        </a:xfrm>
        <a:prstGeom prst="roundRect">
          <a:avLst>
            <a:gd name="adj" fmla="val 8285"/>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442049</xdr:colOff>
      <xdr:row>58</xdr:row>
      <xdr:rowOff>7583</xdr:rowOff>
    </xdr:from>
    <xdr:to>
      <xdr:col>10</xdr:col>
      <xdr:colOff>85558</xdr:colOff>
      <xdr:row>61</xdr:row>
      <xdr:rowOff>29865</xdr:rowOff>
    </xdr:to>
    <xdr:sp macro="" textlink="">
      <xdr:nvSpPr>
        <xdr:cNvPr id="53" name="TextBox 52">
          <a:extLst>
            <a:ext uri="{FF2B5EF4-FFF2-40B4-BE49-F238E27FC236}">
              <a16:creationId xmlns:a16="http://schemas.microsoft.com/office/drawing/2014/main" id="{4A76EBED-C72A-4440-8D95-8BC815375511}"/>
            </a:ext>
          </a:extLst>
        </xdr:cNvPr>
        <xdr:cNvSpPr txBox="1"/>
      </xdr:nvSpPr>
      <xdr:spPr>
        <a:xfrm>
          <a:off x="442049" y="10319983"/>
          <a:ext cx="6247509" cy="555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Top 12 Cities by Orders</a:t>
          </a:r>
        </a:p>
      </xdr:txBody>
    </xdr:sp>
    <xdr:clientData/>
  </xdr:twoCellAnchor>
  <xdr:twoCellAnchor>
    <xdr:from>
      <xdr:col>39</xdr:col>
      <xdr:colOff>255810</xdr:colOff>
      <xdr:row>19</xdr:row>
      <xdr:rowOff>58282</xdr:rowOff>
    </xdr:from>
    <xdr:to>
      <xdr:col>44</xdr:col>
      <xdr:colOff>470889</xdr:colOff>
      <xdr:row>30</xdr:row>
      <xdr:rowOff>35481</xdr:rowOff>
    </xdr:to>
    <xdr:sp macro="" textlink="">
      <xdr:nvSpPr>
        <xdr:cNvPr id="64" name="Rectangle: Rounded Corners 63">
          <a:extLst>
            <a:ext uri="{FF2B5EF4-FFF2-40B4-BE49-F238E27FC236}">
              <a16:creationId xmlns:a16="http://schemas.microsoft.com/office/drawing/2014/main" id="{EF289C1F-8A8E-4D4F-A1DC-F2D59FFDAC62}"/>
            </a:ext>
          </a:extLst>
        </xdr:cNvPr>
        <xdr:cNvSpPr/>
      </xdr:nvSpPr>
      <xdr:spPr>
        <a:xfrm>
          <a:off x="25973310" y="3306551"/>
          <a:ext cx="3512194" cy="1857776"/>
        </a:xfrm>
        <a:prstGeom prst="roundRect">
          <a:avLst/>
        </a:prstGeom>
        <a:solidFill>
          <a:srgbClr val="D922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39</xdr:col>
      <xdr:colOff>478998</xdr:colOff>
      <xdr:row>19</xdr:row>
      <xdr:rowOff>93337</xdr:rowOff>
    </xdr:from>
    <xdr:to>
      <xdr:col>43</xdr:col>
      <xdr:colOff>599640</xdr:colOff>
      <xdr:row>22</xdr:row>
      <xdr:rowOff>164659</xdr:rowOff>
    </xdr:to>
    <xdr:sp macro="" textlink="">
      <xdr:nvSpPr>
        <xdr:cNvPr id="65" name="TextBox 64">
          <a:extLst>
            <a:ext uri="{FF2B5EF4-FFF2-40B4-BE49-F238E27FC236}">
              <a16:creationId xmlns:a16="http://schemas.microsoft.com/office/drawing/2014/main" id="{51EB0E49-D1BF-4BC3-863E-39DF9737AA04}"/>
            </a:ext>
          </a:extLst>
        </xdr:cNvPr>
        <xdr:cNvSpPr txBox="1"/>
      </xdr:nvSpPr>
      <xdr:spPr>
        <a:xfrm>
          <a:off x="26196498" y="3341606"/>
          <a:ext cx="2758334" cy="584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b="1">
              <a:solidFill>
                <a:schemeClr val="tx1"/>
              </a:solidFill>
              <a:latin typeface="Segoe UI" panose="020B0502040204020203" pitchFamily="34" charset="0"/>
              <a:ea typeface="+mn-ea"/>
              <a:cs typeface="Segoe UI" panose="020B0502040204020203" pitchFamily="34" charset="0"/>
            </a:rPr>
            <a:t>Avg</a:t>
          </a:r>
          <a:r>
            <a:rPr lang="en-US" sz="3200" b="1" baseline="0">
              <a:solidFill>
                <a:schemeClr val="tx1"/>
              </a:solidFill>
              <a:latin typeface="Segoe UI" panose="020B0502040204020203" pitchFamily="34" charset="0"/>
              <a:ea typeface="+mn-ea"/>
              <a:cs typeface="Segoe UI" panose="020B0502040204020203" pitchFamily="34" charset="0"/>
            </a:rPr>
            <a:t> Discount</a:t>
          </a:r>
          <a:endParaRPr lang="en-US" sz="3200" b="1">
            <a:solidFill>
              <a:schemeClr val="tx1"/>
            </a:solidFill>
            <a:latin typeface="Segoe UI" panose="020B0502040204020203" pitchFamily="34" charset="0"/>
            <a:ea typeface="+mn-ea"/>
            <a:cs typeface="Segoe UI" panose="020B0502040204020203" pitchFamily="34" charset="0"/>
          </a:endParaRPr>
        </a:p>
      </xdr:txBody>
    </xdr:sp>
    <xdr:clientData/>
  </xdr:twoCellAnchor>
  <xdr:twoCellAnchor>
    <xdr:from>
      <xdr:col>39</xdr:col>
      <xdr:colOff>347890</xdr:colOff>
      <xdr:row>23</xdr:row>
      <xdr:rowOff>123192</xdr:rowOff>
    </xdr:from>
    <xdr:to>
      <xdr:col>44</xdr:col>
      <xdr:colOff>141948</xdr:colOff>
      <xdr:row>27</xdr:row>
      <xdr:rowOff>23552</xdr:rowOff>
    </xdr:to>
    <xdr:sp macro="" textlink="Pivot_Tables!J38">
      <xdr:nvSpPr>
        <xdr:cNvPr id="66" name="TextBox 65">
          <a:extLst>
            <a:ext uri="{FF2B5EF4-FFF2-40B4-BE49-F238E27FC236}">
              <a16:creationId xmlns:a16="http://schemas.microsoft.com/office/drawing/2014/main" id="{EA6367D7-1E2F-445D-BC63-7B22CE238A1E}"/>
            </a:ext>
          </a:extLst>
        </xdr:cNvPr>
        <xdr:cNvSpPr txBox="1"/>
      </xdr:nvSpPr>
      <xdr:spPr>
        <a:xfrm>
          <a:off x="26065390" y="4055307"/>
          <a:ext cx="3091173" cy="584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06E087F-6040-4E8E-8B01-A4D02C4A244E}" type="TxLink">
            <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rPr>
            <a:pPr marL="0" indent="0" algn="ctr"/>
            <a:t>6.06%</a:t>
          </a:fld>
          <a:endParaRPr lang="en-US" sz="4000" b="1" i="0" u="none" strike="noStrike">
            <a:solidFill>
              <a:srgbClr val="000000"/>
            </a:solidFill>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191699</xdr:colOff>
          <xdr:row>36</xdr:row>
          <xdr:rowOff>11981</xdr:rowOff>
        </xdr:from>
        <xdr:to>
          <xdr:col>16</xdr:col>
          <xdr:colOff>623019</xdr:colOff>
          <xdr:row>56</xdr:row>
          <xdr:rowOff>23962</xdr:rowOff>
        </xdr:to>
        <xdr:pic>
          <xdr:nvPicPr>
            <xdr:cNvPr id="71" name="Picture 70">
              <a:extLst>
                <a:ext uri="{FF2B5EF4-FFF2-40B4-BE49-F238E27FC236}">
                  <a16:creationId xmlns:a16="http://schemas.microsoft.com/office/drawing/2014/main" id="{38362EDF-E2CF-5A81-B7F0-4C02DA010F7C}"/>
                </a:ext>
              </a:extLst>
            </xdr:cNvPr>
            <xdr:cNvPicPr>
              <a:picLocks noChangeAspect="1" noChangeArrowheads="1"/>
              <a:extLst>
                <a:ext uri="{84589F7E-364E-4C9E-8A38-B11213B215E9}">
                  <a14:cameraTool cellRange="Pivot_Tables!$A$99:$F$104" spid="_x0000_s6240"/>
                </a:ext>
              </a:extLst>
            </xdr:cNvPicPr>
          </xdr:nvPicPr>
          <xdr:blipFill>
            <a:blip xmlns:r="http://schemas.openxmlformats.org/officeDocument/2006/relationships" r:embed="rId1"/>
            <a:srcRect/>
            <a:stretch>
              <a:fillRect/>
            </a:stretch>
          </xdr:blipFill>
          <xdr:spPr bwMode="auto">
            <a:xfrm>
              <a:off x="191699" y="6481792"/>
              <a:ext cx="10974716" cy="358235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17</xdr:col>
      <xdr:colOff>347455</xdr:colOff>
      <xdr:row>35</xdr:row>
      <xdr:rowOff>143774</xdr:rowOff>
    </xdr:from>
    <xdr:to>
      <xdr:col>30</xdr:col>
      <xdr:colOff>131793</xdr:colOff>
      <xdr:row>56</xdr:row>
      <xdr:rowOff>95849</xdr:rowOff>
    </xdr:to>
    <xdr:graphicFrame macro="">
      <xdr:nvGraphicFramePr>
        <xdr:cNvPr id="74" name="Chart 73">
          <a:extLst>
            <a:ext uri="{FF2B5EF4-FFF2-40B4-BE49-F238E27FC236}">
              <a16:creationId xmlns:a16="http://schemas.microsoft.com/office/drawing/2014/main" id="{F85133C7-6979-4534-8AAA-C8C2B5ED5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262112</xdr:colOff>
      <xdr:row>61</xdr:row>
      <xdr:rowOff>71886</xdr:rowOff>
    </xdr:from>
    <xdr:to>
      <xdr:col>16</xdr:col>
      <xdr:colOff>634999</xdr:colOff>
      <xdr:row>83</xdr:row>
      <xdr:rowOff>71886</xdr:rowOff>
    </xdr:to>
    <xdr:graphicFrame macro="">
      <xdr:nvGraphicFramePr>
        <xdr:cNvPr id="75" name="Chart 74">
          <a:extLst>
            <a:ext uri="{FF2B5EF4-FFF2-40B4-BE49-F238E27FC236}">
              <a16:creationId xmlns:a16="http://schemas.microsoft.com/office/drawing/2014/main" id="{82D8207B-EB6E-4C7E-9F70-602B97768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427169</xdr:colOff>
      <xdr:row>59</xdr:row>
      <xdr:rowOff>42686</xdr:rowOff>
    </xdr:from>
    <xdr:to>
      <xdr:col>30</xdr:col>
      <xdr:colOff>19</xdr:colOff>
      <xdr:row>62</xdr:row>
      <xdr:rowOff>64968</xdr:rowOff>
    </xdr:to>
    <xdr:sp macro="" textlink="">
      <xdr:nvSpPr>
        <xdr:cNvPr id="43" name="TextBox 42">
          <a:extLst>
            <a:ext uri="{FF2B5EF4-FFF2-40B4-BE49-F238E27FC236}">
              <a16:creationId xmlns:a16="http://schemas.microsoft.com/office/drawing/2014/main" id="{FF6C8296-9F64-4EBA-80C4-3C306CA5DD18}"/>
            </a:ext>
          </a:extLst>
        </xdr:cNvPr>
        <xdr:cNvSpPr txBox="1"/>
      </xdr:nvSpPr>
      <xdr:spPr>
        <a:xfrm>
          <a:off x="11629527" y="10622026"/>
          <a:ext cx="8139360"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TOTAL</a:t>
          </a:r>
          <a:r>
            <a:rPr lang="en-US" sz="2800" b="0" i="0" baseline="0">
              <a:solidFill>
                <a:schemeClr val="dk1"/>
              </a:solidFill>
              <a:effectLst/>
              <a:latin typeface="Segoe UI Black" panose="020B0A02040204020203" pitchFamily="34" charset="0"/>
              <a:ea typeface="Segoe UI Black" panose="020B0A02040204020203" pitchFamily="34" charset="0"/>
              <a:cs typeface="+mn-cs"/>
            </a:rPr>
            <a:t> REVENUE BY </a:t>
          </a:r>
          <a:r>
            <a:rPr lang="en-US" sz="2800" b="0" i="0">
              <a:solidFill>
                <a:schemeClr val="dk1"/>
              </a:solidFill>
              <a:effectLst/>
              <a:latin typeface="Segoe UI Black" panose="020B0A02040204020203" pitchFamily="34" charset="0"/>
              <a:ea typeface="Segoe UI Black" panose="020B0A02040204020203" pitchFamily="34" charset="0"/>
              <a:cs typeface="+mn-cs"/>
            </a:rPr>
            <a:t>CUSTOMER SEGMENTS</a:t>
          </a:r>
        </a:p>
      </xdr:txBody>
    </xdr:sp>
    <xdr:clientData/>
  </xdr:twoCellAnchor>
  <xdr:twoCellAnchor>
    <xdr:from>
      <xdr:col>17</xdr:col>
      <xdr:colOff>407378</xdr:colOff>
      <xdr:row>63</xdr:row>
      <xdr:rowOff>29704</xdr:rowOff>
    </xdr:from>
    <xdr:to>
      <xdr:col>29</xdr:col>
      <xdr:colOff>563131</xdr:colOff>
      <xdr:row>82</xdr:row>
      <xdr:rowOff>83859</xdr:rowOff>
    </xdr:to>
    <xdr:graphicFrame macro="">
      <xdr:nvGraphicFramePr>
        <xdr:cNvPr id="73" name="Chart 72">
          <a:extLst>
            <a:ext uri="{FF2B5EF4-FFF2-40B4-BE49-F238E27FC236}">
              <a16:creationId xmlns:a16="http://schemas.microsoft.com/office/drawing/2014/main" id="{F4361900-7EB0-4E52-AB8D-7251253040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380042</xdr:colOff>
      <xdr:row>57</xdr:row>
      <xdr:rowOff>171567</xdr:rowOff>
    </xdr:from>
    <xdr:to>
      <xdr:col>44</xdr:col>
      <xdr:colOff>628492</xdr:colOff>
      <xdr:row>83</xdr:row>
      <xdr:rowOff>143773</xdr:rowOff>
    </xdr:to>
    <xdr:sp macro="" textlink="">
      <xdr:nvSpPr>
        <xdr:cNvPr id="76" name="Rectangle: Rounded Corners 75">
          <a:extLst>
            <a:ext uri="{FF2B5EF4-FFF2-40B4-BE49-F238E27FC236}">
              <a16:creationId xmlns:a16="http://schemas.microsoft.com/office/drawing/2014/main" id="{0DCB9F63-36A9-410F-B36E-CA5A2D7993A6}"/>
            </a:ext>
          </a:extLst>
        </xdr:cNvPr>
        <xdr:cNvSpPr/>
      </xdr:nvSpPr>
      <xdr:spPr>
        <a:xfrm>
          <a:off x="20148910" y="10391473"/>
          <a:ext cx="9473922" cy="4644847"/>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563114</xdr:colOff>
      <xdr:row>35</xdr:row>
      <xdr:rowOff>59907</xdr:rowOff>
    </xdr:from>
    <xdr:to>
      <xdr:col>44</xdr:col>
      <xdr:colOff>467264</xdr:colOff>
      <xdr:row>55</xdr:row>
      <xdr:rowOff>119811</xdr:rowOff>
    </xdr:to>
    <xdr:graphicFrame macro="">
      <xdr:nvGraphicFramePr>
        <xdr:cNvPr id="77" name="Chart 76">
          <a:extLst>
            <a:ext uri="{FF2B5EF4-FFF2-40B4-BE49-F238E27FC236}">
              <a16:creationId xmlns:a16="http://schemas.microsoft.com/office/drawing/2014/main" id="{15AD9EEF-FD1C-43E3-962B-DFD72F5C0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644270</xdr:colOff>
      <xdr:row>31</xdr:row>
      <xdr:rowOff>163559</xdr:rowOff>
    </xdr:from>
    <xdr:to>
      <xdr:col>39</xdr:col>
      <xdr:colOff>487854</xdr:colOff>
      <xdr:row>35</xdr:row>
      <xdr:rowOff>6124</xdr:rowOff>
    </xdr:to>
    <xdr:sp macro="" textlink="">
      <xdr:nvSpPr>
        <xdr:cNvPr id="78" name="TextBox 77">
          <a:extLst>
            <a:ext uri="{FF2B5EF4-FFF2-40B4-BE49-F238E27FC236}">
              <a16:creationId xmlns:a16="http://schemas.microsoft.com/office/drawing/2014/main" id="{BCF1F96B-D8E5-4BAD-B423-60A1C13BEE4E}"/>
            </a:ext>
          </a:extLst>
        </xdr:cNvPr>
        <xdr:cNvSpPr txBox="1"/>
      </xdr:nvSpPr>
      <xdr:spPr>
        <a:xfrm>
          <a:off x="20413138" y="5734785"/>
          <a:ext cx="5774244"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Highest Revenue Month</a:t>
          </a:r>
        </a:p>
      </xdr:txBody>
    </xdr:sp>
    <xdr:clientData/>
  </xdr:twoCellAnchor>
  <xdr:twoCellAnchor>
    <xdr:from>
      <xdr:col>30</xdr:col>
      <xdr:colOff>503207</xdr:colOff>
      <xdr:row>61</xdr:row>
      <xdr:rowOff>47924</xdr:rowOff>
    </xdr:from>
    <xdr:to>
      <xdr:col>44</xdr:col>
      <xdr:colOff>383396</xdr:colOff>
      <xdr:row>83</xdr:row>
      <xdr:rowOff>95849</xdr:rowOff>
    </xdr:to>
    <xdr:graphicFrame macro="">
      <xdr:nvGraphicFramePr>
        <xdr:cNvPr id="79" name="Chart 78">
          <a:extLst>
            <a:ext uri="{FF2B5EF4-FFF2-40B4-BE49-F238E27FC236}">
              <a16:creationId xmlns:a16="http://schemas.microsoft.com/office/drawing/2014/main" id="{2E715BE4-E2B3-4AB8-AA6D-D082767941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30</xdr:col>
      <xdr:colOff>519663</xdr:colOff>
      <xdr:row>57</xdr:row>
      <xdr:rowOff>159143</xdr:rowOff>
    </xdr:from>
    <xdr:to>
      <xdr:col>43</xdr:col>
      <xdr:colOff>92514</xdr:colOff>
      <xdr:row>61</xdr:row>
      <xdr:rowOff>1708</xdr:rowOff>
    </xdr:to>
    <xdr:sp macro="" textlink="">
      <xdr:nvSpPr>
        <xdr:cNvPr id="80" name="TextBox 79">
          <a:extLst>
            <a:ext uri="{FF2B5EF4-FFF2-40B4-BE49-F238E27FC236}">
              <a16:creationId xmlns:a16="http://schemas.microsoft.com/office/drawing/2014/main" id="{DE37FC0B-FD03-43D0-B459-78EF320F027C}"/>
            </a:ext>
          </a:extLst>
        </xdr:cNvPr>
        <xdr:cNvSpPr txBox="1"/>
      </xdr:nvSpPr>
      <xdr:spPr>
        <a:xfrm>
          <a:off x="20288531" y="10379049"/>
          <a:ext cx="8139360"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Region Profit Analysis By </a:t>
          </a:r>
        </a:p>
      </xdr:txBody>
    </xdr:sp>
    <xdr:clientData/>
  </xdr:twoCellAnchor>
  <xdr:twoCellAnchor>
    <xdr:from>
      <xdr:col>0</xdr:col>
      <xdr:colOff>210834</xdr:colOff>
      <xdr:row>84</xdr:row>
      <xdr:rowOff>74627</xdr:rowOff>
    </xdr:from>
    <xdr:to>
      <xdr:col>17</xdr:col>
      <xdr:colOff>140419</xdr:colOff>
      <xdr:row>107</xdr:row>
      <xdr:rowOff>107829</xdr:rowOff>
    </xdr:to>
    <xdr:sp macro="" textlink="">
      <xdr:nvSpPr>
        <xdr:cNvPr id="5" name="Rectangle: Rounded Corners 4">
          <a:extLst>
            <a:ext uri="{FF2B5EF4-FFF2-40B4-BE49-F238E27FC236}">
              <a16:creationId xmlns:a16="http://schemas.microsoft.com/office/drawing/2014/main" id="{9861AEC1-ED7B-45AD-B64C-A81B0005FD65}"/>
            </a:ext>
          </a:extLst>
        </xdr:cNvPr>
        <xdr:cNvSpPr/>
      </xdr:nvSpPr>
      <xdr:spPr>
        <a:xfrm>
          <a:off x="210834" y="15146891"/>
          <a:ext cx="11131943" cy="4166693"/>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387197</xdr:colOff>
      <xdr:row>84</xdr:row>
      <xdr:rowOff>59290</xdr:rowOff>
    </xdr:from>
    <xdr:to>
      <xdr:col>30</xdr:col>
      <xdr:colOff>215660</xdr:colOff>
      <xdr:row>107</xdr:row>
      <xdr:rowOff>92492</xdr:rowOff>
    </xdr:to>
    <xdr:sp macro="" textlink="">
      <xdr:nvSpPr>
        <xdr:cNvPr id="40" name="Rectangle: Rounded Corners 39">
          <a:extLst>
            <a:ext uri="{FF2B5EF4-FFF2-40B4-BE49-F238E27FC236}">
              <a16:creationId xmlns:a16="http://schemas.microsoft.com/office/drawing/2014/main" id="{7D7C1829-5A47-4994-BF21-9EF2D07D6E48}"/>
            </a:ext>
          </a:extLst>
        </xdr:cNvPr>
        <xdr:cNvSpPr/>
      </xdr:nvSpPr>
      <xdr:spPr>
        <a:xfrm>
          <a:off x="11589555" y="15131554"/>
          <a:ext cx="8394973" cy="4166693"/>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31115</xdr:colOff>
      <xdr:row>86</xdr:row>
      <xdr:rowOff>86607</xdr:rowOff>
    </xdr:from>
    <xdr:to>
      <xdr:col>30</xdr:col>
      <xdr:colOff>131791</xdr:colOff>
      <xdr:row>107</xdr:row>
      <xdr:rowOff>167735</xdr:rowOff>
    </xdr:to>
    <xdr:graphicFrame macro="">
      <xdr:nvGraphicFramePr>
        <xdr:cNvPr id="37" name="Chart 36">
          <a:extLst>
            <a:ext uri="{FF2B5EF4-FFF2-40B4-BE49-F238E27FC236}">
              <a16:creationId xmlns:a16="http://schemas.microsoft.com/office/drawing/2014/main" id="{AC30424F-C61D-465C-A720-03177AF4D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130525</xdr:colOff>
      <xdr:row>83</xdr:row>
      <xdr:rowOff>147993</xdr:rowOff>
    </xdr:from>
    <xdr:to>
      <xdr:col>27</xdr:col>
      <xdr:colOff>432997</xdr:colOff>
      <xdr:row>86</xdr:row>
      <xdr:rowOff>170275</xdr:rowOff>
    </xdr:to>
    <xdr:sp macro="" textlink="">
      <xdr:nvSpPr>
        <xdr:cNvPr id="45" name="TextBox 44">
          <a:extLst>
            <a:ext uri="{FF2B5EF4-FFF2-40B4-BE49-F238E27FC236}">
              <a16:creationId xmlns:a16="http://schemas.microsoft.com/office/drawing/2014/main" id="{818391FF-40DF-44BB-9A0F-3A0505D35A09}"/>
            </a:ext>
          </a:extLst>
        </xdr:cNvPr>
        <xdr:cNvSpPr txBox="1"/>
      </xdr:nvSpPr>
      <xdr:spPr>
        <a:xfrm>
          <a:off x="11991846" y="15040540"/>
          <a:ext cx="6233132"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Payment Method Usage</a:t>
          </a:r>
        </a:p>
      </xdr:txBody>
    </xdr:sp>
    <xdr:clientData/>
  </xdr:twoCellAnchor>
  <xdr:twoCellAnchor>
    <xdr:from>
      <xdr:col>30</xdr:col>
      <xdr:colOff>532442</xdr:colOff>
      <xdr:row>84</xdr:row>
      <xdr:rowOff>71888</xdr:rowOff>
    </xdr:from>
    <xdr:to>
      <xdr:col>45</xdr:col>
      <xdr:colOff>121930</xdr:colOff>
      <xdr:row>107</xdr:row>
      <xdr:rowOff>71887</xdr:rowOff>
    </xdr:to>
    <xdr:sp macro="" textlink="">
      <xdr:nvSpPr>
        <xdr:cNvPr id="49" name="Rectangle: Rounded Corners 48">
          <a:extLst>
            <a:ext uri="{FF2B5EF4-FFF2-40B4-BE49-F238E27FC236}">
              <a16:creationId xmlns:a16="http://schemas.microsoft.com/office/drawing/2014/main" id="{427C0EC0-B490-48F8-AA4E-F8F27D47B173}"/>
            </a:ext>
          </a:extLst>
        </xdr:cNvPr>
        <xdr:cNvSpPr/>
      </xdr:nvSpPr>
      <xdr:spPr>
        <a:xfrm>
          <a:off x="20301310" y="15144152"/>
          <a:ext cx="9473922" cy="4133490"/>
        </a:xfrm>
        <a:prstGeom prst="roundRect">
          <a:avLst>
            <a:gd name="adj" fmla="val 10750"/>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29234</xdr:colOff>
      <xdr:row>87</xdr:row>
      <xdr:rowOff>167736</xdr:rowOff>
    </xdr:from>
    <xdr:to>
      <xdr:col>44</xdr:col>
      <xdr:colOff>587075</xdr:colOff>
      <xdr:row>106</xdr:row>
      <xdr:rowOff>71886</xdr:rowOff>
    </xdr:to>
    <xdr:graphicFrame macro="">
      <xdr:nvGraphicFramePr>
        <xdr:cNvPr id="50" name="Chart 49">
          <a:extLst>
            <a:ext uri="{FF2B5EF4-FFF2-40B4-BE49-F238E27FC236}">
              <a16:creationId xmlns:a16="http://schemas.microsoft.com/office/drawing/2014/main" id="{240FA525-2DC9-4560-A8E2-484A9A8CC1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67265</xdr:colOff>
      <xdr:row>84</xdr:row>
      <xdr:rowOff>96713</xdr:rowOff>
    </xdr:from>
    <xdr:to>
      <xdr:col>40</xdr:col>
      <xdr:colOff>369736</xdr:colOff>
      <xdr:row>87</xdr:row>
      <xdr:rowOff>118995</xdr:rowOff>
    </xdr:to>
    <xdr:sp macro="" textlink="">
      <xdr:nvSpPr>
        <xdr:cNvPr id="51" name="TextBox 50">
          <a:extLst>
            <a:ext uri="{FF2B5EF4-FFF2-40B4-BE49-F238E27FC236}">
              <a16:creationId xmlns:a16="http://schemas.microsoft.com/office/drawing/2014/main" id="{7F3892CB-C26C-47CC-9814-F339D88CF975}"/>
            </a:ext>
          </a:extLst>
        </xdr:cNvPr>
        <xdr:cNvSpPr txBox="1"/>
      </xdr:nvSpPr>
      <xdr:spPr>
        <a:xfrm>
          <a:off x="20495095" y="15168977"/>
          <a:ext cx="6233132"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Best Rated Category</a:t>
          </a:r>
        </a:p>
        <a:p>
          <a:pPr marL="0" indent="0"/>
          <a:endParaRPr lang="en-US" sz="2800" b="0" i="0">
            <a:solidFill>
              <a:schemeClr val="dk1"/>
            </a:solidFill>
            <a:effectLst/>
            <a:latin typeface="Segoe UI Black" panose="020B0A02040204020203" pitchFamily="34" charset="0"/>
            <a:ea typeface="Segoe UI Black" panose="020B0A02040204020203" pitchFamily="34" charset="0"/>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299528</xdr:colOff>
          <xdr:row>87</xdr:row>
          <xdr:rowOff>47924</xdr:rowOff>
        </xdr:from>
        <xdr:to>
          <xdr:col>17</xdr:col>
          <xdr:colOff>11982</xdr:colOff>
          <xdr:row>106</xdr:row>
          <xdr:rowOff>155754</xdr:rowOff>
        </xdr:to>
        <xdr:pic>
          <xdr:nvPicPr>
            <xdr:cNvPr id="55" name="Picture 54">
              <a:extLst>
                <a:ext uri="{FF2B5EF4-FFF2-40B4-BE49-F238E27FC236}">
                  <a16:creationId xmlns:a16="http://schemas.microsoft.com/office/drawing/2014/main" id="{4B1B7163-3B3F-344D-AE5F-54B40930F09C}"/>
                </a:ext>
              </a:extLst>
            </xdr:cNvPr>
            <xdr:cNvPicPr>
              <a:picLocks noChangeAspect="1" noChangeArrowheads="1"/>
              <a:extLst>
                <a:ext uri="{84589F7E-364E-4C9E-8A38-B11213B215E9}">
                  <a14:cameraTool cellRange="Pivot_Tables!$I$88:$O$94" spid="_x0000_s6241"/>
                </a:ext>
              </a:extLst>
            </xdr:cNvPicPr>
          </xdr:nvPicPr>
          <xdr:blipFill>
            <a:blip xmlns:r="http://schemas.openxmlformats.org/officeDocument/2006/relationships" r:embed="rId9"/>
            <a:srcRect/>
            <a:stretch>
              <a:fillRect/>
            </a:stretch>
          </xdr:blipFill>
          <xdr:spPr bwMode="auto">
            <a:xfrm>
              <a:off x="299528" y="15659339"/>
              <a:ext cx="10914812" cy="352245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534558</xdr:colOff>
      <xdr:row>83</xdr:row>
      <xdr:rowOff>120678</xdr:rowOff>
    </xdr:from>
    <xdr:to>
      <xdr:col>10</xdr:col>
      <xdr:colOff>178067</xdr:colOff>
      <xdr:row>86</xdr:row>
      <xdr:rowOff>142960</xdr:rowOff>
    </xdr:to>
    <xdr:sp macro="" textlink="">
      <xdr:nvSpPr>
        <xdr:cNvPr id="56" name="TextBox 55">
          <a:extLst>
            <a:ext uri="{FF2B5EF4-FFF2-40B4-BE49-F238E27FC236}">
              <a16:creationId xmlns:a16="http://schemas.microsoft.com/office/drawing/2014/main" id="{A8AE8643-FE23-4FAB-9AB8-97C97FF22B3B}"/>
            </a:ext>
          </a:extLst>
        </xdr:cNvPr>
        <xdr:cNvSpPr txBox="1"/>
      </xdr:nvSpPr>
      <xdr:spPr>
        <a:xfrm>
          <a:off x="534558" y="15013225"/>
          <a:ext cx="6233132" cy="561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800" b="0" i="0">
              <a:solidFill>
                <a:schemeClr val="dk1"/>
              </a:solidFill>
              <a:effectLst/>
              <a:latin typeface="Segoe UI Black" panose="020B0A02040204020203" pitchFamily="34" charset="0"/>
              <a:ea typeface="Segoe UI Black" panose="020B0A02040204020203" pitchFamily="34" charset="0"/>
              <a:cs typeface="+mn-cs"/>
            </a:rPr>
            <a:t>Top 5 Products</a:t>
          </a:r>
        </a:p>
        <a:p>
          <a:pPr marL="0" indent="0"/>
          <a:endParaRPr lang="en-US" sz="2800" b="0" i="0">
            <a:solidFill>
              <a:schemeClr val="dk1"/>
            </a:solidFill>
            <a:effectLst/>
            <a:latin typeface="Segoe UI Black" panose="020B0A02040204020203" pitchFamily="34" charset="0"/>
            <a:ea typeface="Segoe UI Black" panose="020B0A02040204020203" pitchFamily="34" charset="0"/>
            <a:cs typeface="+mn-cs"/>
          </a:endParaRPr>
        </a:p>
      </xdr:txBody>
    </xdr:sp>
    <xdr:clientData/>
  </xdr:twoCellAnchor>
  <xdr:twoCellAnchor>
    <xdr:from>
      <xdr:col>0</xdr:col>
      <xdr:colOff>163937</xdr:colOff>
      <xdr:row>1</xdr:row>
      <xdr:rowOff>52975</xdr:rowOff>
    </xdr:from>
    <xdr:to>
      <xdr:col>44</xdr:col>
      <xdr:colOff>419589</xdr:colOff>
      <xdr:row>6</xdr:row>
      <xdr:rowOff>3145</xdr:rowOff>
    </xdr:to>
    <xdr:sp macro="" textlink="">
      <xdr:nvSpPr>
        <xdr:cNvPr id="57" name="Rectangle: Rounded Corners 56">
          <a:extLst>
            <a:ext uri="{FF2B5EF4-FFF2-40B4-BE49-F238E27FC236}">
              <a16:creationId xmlns:a16="http://schemas.microsoft.com/office/drawing/2014/main" id="{98B67D7B-4BFF-421D-9725-74CAC09A12C2}"/>
            </a:ext>
          </a:extLst>
        </xdr:cNvPr>
        <xdr:cNvSpPr/>
      </xdr:nvSpPr>
      <xdr:spPr>
        <a:xfrm>
          <a:off x="163937" y="232692"/>
          <a:ext cx="29249992" cy="848755"/>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90377</xdr:colOff>
      <xdr:row>1</xdr:row>
      <xdr:rowOff>41835</xdr:rowOff>
    </xdr:from>
    <xdr:to>
      <xdr:col>30</xdr:col>
      <xdr:colOff>375235</xdr:colOff>
      <xdr:row>5</xdr:row>
      <xdr:rowOff>29846</xdr:rowOff>
    </xdr:to>
    <xdr:sp macro="" textlink="">
      <xdr:nvSpPr>
        <xdr:cNvPr id="58" name="TextBox 57">
          <a:extLst>
            <a:ext uri="{FF2B5EF4-FFF2-40B4-BE49-F238E27FC236}">
              <a16:creationId xmlns:a16="http://schemas.microsoft.com/office/drawing/2014/main" id="{8D3A1BB1-5D04-4956-9094-D75AAD38FB1B}"/>
            </a:ext>
          </a:extLst>
        </xdr:cNvPr>
        <xdr:cNvSpPr txBox="1"/>
      </xdr:nvSpPr>
      <xdr:spPr>
        <a:xfrm>
          <a:off x="2726226" y="221552"/>
          <a:ext cx="17417877" cy="706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0" i="0">
              <a:solidFill>
                <a:srgbClr val="790D0D"/>
              </a:solidFill>
              <a:effectLst/>
              <a:latin typeface="Segoe UI Black" panose="020B0A02040204020203" pitchFamily="34" charset="0"/>
              <a:ea typeface="Segoe UI Black" panose="020B0A02040204020203" pitchFamily="34" charset="0"/>
              <a:cs typeface="+mn-cs"/>
            </a:rPr>
            <a:t>PAKISTAN SALES PERFORMANCE DASHBOARD - FY OVERVIEW  </a:t>
          </a:r>
        </a:p>
        <a:p>
          <a:r>
            <a:rPr lang="en-US" sz="1200" b="0" i="0">
              <a:solidFill>
                <a:srgbClr val="790D0D"/>
              </a:solidFill>
              <a:effectLst/>
              <a:latin typeface="+mn-lt"/>
              <a:ea typeface="+mn-ea"/>
              <a:cs typeface="+mn-cs"/>
            </a:rPr>
            <a:t>   </a:t>
          </a:r>
        </a:p>
      </xdr:txBody>
    </xdr:sp>
    <xdr:clientData/>
  </xdr:twoCellAnchor>
  <xdr:twoCellAnchor>
    <xdr:from>
      <xdr:col>0</xdr:col>
      <xdr:colOff>80389</xdr:colOff>
      <xdr:row>6</xdr:row>
      <xdr:rowOff>127007</xdr:rowOff>
    </xdr:from>
    <xdr:to>
      <xdr:col>45</xdr:col>
      <xdr:colOff>71886</xdr:colOff>
      <xdr:row>16</xdr:row>
      <xdr:rowOff>175730</xdr:rowOff>
    </xdr:to>
    <xdr:sp macro="" textlink="">
      <xdr:nvSpPr>
        <xdr:cNvPr id="59" name="Rectangle: Rounded Corners 58">
          <a:extLst>
            <a:ext uri="{FF2B5EF4-FFF2-40B4-BE49-F238E27FC236}">
              <a16:creationId xmlns:a16="http://schemas.microsoft.com/office/drawing/2014/main" id="{DE8231C9-1881-4BF4-9FF8-C5DF8019DCAF}"/>
            </a:ext>
          </a:extLst>
        </xdr:cNvPr>
        <xdr:cNvSpPr/>
      </xdr:nvSpPr>
      <xdr:spPr>
        <a:xfrm>
          <a:off x="80389" y="1205309"/>
          <a:ext cx="29644799" cy="1845893"/>
        </a:xfrm>
        <a:prstGeom prst="roundRect">
          <a:avLst/>
        </a:prstGeom>
        <a:solidFill>
          <a:srgbClr val="F350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202932</xdr:colOff>
      <xdr:row>7</xdr:row>
      <xdr:rowOff>122396</xdr:rowOff>
    </xdr:from>
    <xdr:to>
      <xdr:col>6</xdr:col>
      <xdr:colOff>274795</xdr:colOff>
      <xdr:row>16</xdr:row>
      <xdr:rowOff>62667</xdr:rowOff>
    </xdr:to>
    <mc:AlternateContent xmlns:mc="http://schemas.openxmlformats.org/markup-compatibility/2006" xmlns:a14="http://schemas.microsoft.com/office/drawing/2010/main">
      <mc:Choice Requires="a14">
        <xdr:graphicFrame macro="">
          <xdr:nvGraphicFramePr>
            <xdr:cNvPr id="60" name="Region 1">
              <a:extLst>
                <a:ext uri="{FF2B5EF4-FFF2-40B4-BE49-F238E27FC236}">
                  <a16:creationId xmlns:a16="http://schemas.microsoft.com/office/drawing/2014/main" id="{A1E361A2-AD32-43BC-BC2B-C8FC08D5D0A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02932" y="1292133"/>
              <a:ext cx="4082389" cy="1444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315329</xdr:colOff>
      <xdr:row>7</xdr:row>
      <xdr:rowOff>91750</xdr:rowOff>
    </xdr:from>
    <xdr:to>
      <xdr:col>13</xdr:col>
      <xdr:colOff>22061</xdr:colOff>
      <xdr:row>16</xdr:row>
      <xdr:rowOff>62666</xdr:rowOff>
    </xdr:to>
    <mc:AlternateContent xmlns:mc="http://schemas.openxmlformats.org/markup-compatibility/2006" xmlns:a14="http://schemas.microsoft.com/office/drawing/2010/main">
      <mc:Choice Requires="a14">
        <xdr:graphicFrame macro="">
          <xdr:nvGraphicFramePr>
            <xdr:cNvPr id="61" name="Category 1">
              <a:extLst>
                <a:ext uri="{FF2B5EF4-FFF2-40B4-BE49-F238E27FC236}">
                  <a16:creationId xmlns:a16="http://schemas.microsoft.com/office/drawing/2014/main" id="{7E94536C-E51F-451E-937E-781543451B8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325855" y="1261487"/>
              <a:ext cx="4385680" cy="1474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138771</xdr:colOff>
      <xdr:row>7</xdr:row>
      <xdr:rowOff>100543</xdr:rowOff>
    </xdr:from>
    <xdr:to>
      <xdr:col>18</xdr:col>
      <xdr:colOff>370890</xdr:colOff>
      <xdr:row>16</xdr:row>
      <xdr:rowOff>76177</xdr:rowOff>
    </xdr:to>
    <mc:AlternateContent xmlns:mc="http://schemas.openxmlformats.org/markup-compatibility/2006" xmlns:a14="http://schemas.microsoft.com/office/drawing/2010/main">
      <mc:Choice Requires="a14">
        <xdr:graphicFrame macro="">
          <xdr:nvGraphicFramePr>
            <xdr:cNvPr id="62" name="Sales_Channel 1">
              <a:extLst>
                <a:ext uri="{FF2B5EF4-FFF2-40B4-BE49-F238E27FC236}">
                  <a16:creationId xmlns:a16="http://schemas.microsoft.com/office/drawing/2014/main" id="{0FF8C8C0-4EDB-4824-BD41-A387B0EBECC3}"/>
                </a:ext>
              </a:extLst>
            </xdr:cNvPr>
            <xdr:cNvGraphicFramePr/>
          </xdr:nvGraphicFramePr>
          <xdr:xfrm>
            <a:off x="0" y="0"/>
            <a:ext cx="0" cy="0"/>
          </xdr:xfrm>
          <a:graphic>
            <a:graphicData uri="http://schemas.microsoft.com/office/drawing/2010/slicer">
              <sle:slicer xmlns:sle="http://schemas.microsoft.com/office/drawing/2010/slicer" name="Sales_Channel 1"/>
            </a:graphicData>
          </a:graphic>
        </xdr:graphicFrame>
      </mc:Choice>
      <mc:Fallback xmlns="">
        <xdr:sp macro="" textlink="">
          <xdr:nvSpPr>
            <xdr:cNvPr id="0" name=""/>
            <xdr:cNvSpPr>
              <a:spLocks noTextEdit="1"/>
            </xdr:cNvSpPr>
          </xdr:nvSpPr>
          <xdr:spPr>
            <a:xfrm>
              <a:off x="8828245" y="1270280"/>
              <a:ext cx="3574224" cy="14795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415453</xdr:colOff>
      <xdr:row>7</xdr:row>
      <xdr:rowOff>145105</xdr:rowOff>
    </xdr:from>
    <xdr:to>
      <xdr:col>24</xdr:col>
      <xdr:colOff>263322</xdr:colOff>
      <xdr:row>16</xdr:row>
      <xdr:rowOff>49155</xdr:rowOff>
    </xdr:to>
    <mc:AlternateContent xmlns:mc="http://schemas.openxmlformats.org/markup-compatibility/2006" xmlns:a14="http://schemas.microsoft.com/office/drawing/2010/main">
      <mc:Choice Requires="a14">
        <xdr:graphicFrame macro="">
          <xdr:nvGraphicFramePr>
            <xdr:cNvPr id="67" name="Customer_Segment 1">
              <a:extLst>
                <a:ext uri="{FF2B5EF4-FFF2-40B4-BE49-F238E27FC236}">
                  <a16:creationId xmlns:a16="http://schemas.microsoft.com/office/drawing/2014/main" id="{D426BB3C-69B1-4E3C-B3D3-59CB5902D15C}"/>
                </a:ext>
              </a:extLst>
            </xdr:cNvPr>
            <xdr:cNvGraphicFramePr/>
          </xdr:nvGraphicFramePr>
          <xdr:xfrm>
            <a:off x="0" y="0"/>
            <a:ext cx="0" cy="0"/>
          </xdr:xfrm>
          <a:graphic>
            <a:graphicData uri="http://schemas.microsoft.com/office/drawing/2010/slicer">
              <sle:slicer xmlns:sle="http://schemas.microsoft.com/office/drawing/2010/slicer" name="Customer_Segment 1"/>
            </a:graphicData>
          </a:graphic>
        </xdr:graphicFrame>
      </mc:Choice>
      <mc:Fallback xmlns="">
        <xdr:sp macro="" textlink="">
          <xdr:nvSpPr>
            <xdr:cNvPr id="0" name=""/>
            <xdr:cNvSpPr>
              <a:spLocks noTextEdit="1"/>
            </xdr:cNvSpPr>
          </xdr:nvSpPr>
          <xdr:spPr>
            <a:xfrm>
              <a:off x="12447032" y="1314842"/>
              <a:ext cx="3858395" cy="14079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374726</xdr:colOff>
      <xdr:row>7</xdr:row>
      <xdr:rowOff>111684</xdr:rowOff>
    </xdr:from>
    <xdr:to>
      <xdr:col>30</xdr:col>
      <xdr:colOff>206711</xdr:colOff>
      <xdr:row>15</xdr:row>
      <xdr:rowOff>164978</xdr:rowOff>
    </xdr:to>
    <mc:AlternateContent xmlns:mc="http://schemas.openxmlformats.org/markup-compatibility/2006" xmlns:a14="http://schemas.microsoft.com/office/drawing/2010/main">
      <mc:Choice Requires="a14">
        <xdr:graphicFrame macro="">
          <xdr:nvGraphicFramePr>
            <xdr:cNvPr id="68" name="Sales_Rep 1">
              <a:extLst>
                <a:ext uri="{FF2B5EF4-FFF2-40B4-BE49-F238E27FC236}">
                  <a16:creationId xmlns:a16="http://schemas.microsoft.com/office/drawing/2014/main" id="{BC5F8293-FFC8-48CB-9C49-96E52F9D344B}"/>
                </a:ext>
              </a:extLst>
            </xdr:cNvPr>
            <xdr:cNvGraphicFramePr/>
          </xdr:nvGraphicFramePr>
          <xdr:xfrm>
            <a:off x="0" y="0"/>
            <a:ext cx="0" cy="0"/>
          </xdr:xfrm>
          <a:graphic>
            <a:graphicData uri="http://schemas.microsoft.com/office/drawing/2010/slicer">
              <sle:slicer xmlns:sle="http://schemas.microsoft.com/office/drawing/2010/slicer" name="Sales_Rep 1"/>
            </a:graphicData>
          </a:graphic>
        </xdr:graphicFrame>
      </mc:Choice>
      <mc:Fallback xmlns="">
        <xdr:sp macro="" textlink="">
          <xdr:nvSpPr>
            <xdr:cNvPr id="0" name=""/>
            <xdr:cNvSpPr>
              <a:spLocks noTextEdit="1"/>
            </xdr:cNvSpPr>
          </xdr:nvSpPr>
          <xdr:spPr>
            <a:xfrm>
              <a:off x="16416831" y="1281421"/>
              <a:ext cx="3842512" cy="1390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305030</xdr:colOff>
      <xdr:row>7</xdr:row>
      <xdr:rowOff>78264</xdr:rowOff>
    </xdr:from>
    <xdr:to>
      <xdr:col>36</xdr:col>
      <xdr:colOff>10583</xdr:colOff>
      <xdr:row>16</xdr:row>
      <xdr:rowOff>62667</xdr:rowOff>
    </xdr:to>
    <mc:AlternateContent xmlns:mc="http://schemas.openxmlformats.org/markup-compatibility/2006" xmlns:a14="http://schemas.microsoft.com/office/drawing/2010/main">
      <mc:Choice Requires="a14">
        <xdr:graphicFrame macro="">
          <xdr:nvGraphicFramePr>
            <xdr:cNvPr id="69" name="Payment_Method 1">
              <a:extLst>
                <a:ext uri="{FF2B5EF4-FFF2-40B4-BE49-F238E27FC236}">
                  <a16:creationId xmlns:a16="http://schemas.microsoft.com/office/drawing/2014/main" id="{DA3BBEB7-BFA7-473C-9B95-294EC51B691F}"/>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20357662" y="1248001"/>
              <a:ext cx="3716079" cy="148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223097</xdr:colOff>
      <xdr:row>1</xdr:row>
      <xdr:rowOff>102118</xdr:rowOff>
    </xdr:from>
    <xdr:to>
      <xdr:col>35</xdr:col>
      <xdr:colOff>36158</xdr:colOff>
      <xdr:row>5</xdr:row>
      <xdr:rowOff>93747</xdr:rowOff>
    </xdr:to>
    <xdr:sp macro="" textlink="">
      <xdr:nvSpPr>
        <xdr:cNvPr id="70" name="Rectangle: Rounded Corners 69">
          <a:hlinkClick xmlns:r="http://schemas.openxmlformats.org/officeDocument/2006/relationships" r:id="rId10"/>
          <a:extLst>
            <a:ext uri="{FF2B5EF4-FFF2-40B4-BE49-F238E27FC236}">
              <a16:creationId xmlns:a16="http://schemas.microsoft.com/office/drawing/2014/main" id="{BA477E45-CEA9-40E0-AD5C-D064B70B56A7}"/>
            </a:ext>
          </a:extLst>
        </xdr:cNvPr>
        <xdr:cNvSpPr/>
      </xdr:nvSpPr>
      <xdr:spPr>
        <a:xfrm>
          <a:off x="19333003" y="281835"/>
          <a:ext cx="3766834"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EXECUTIVE SUMMARY</a:t>
          </a:r>
        </a:p>
      </xdr:txBody>
    </xdr:sp>
    <xdr:clientData/>
  </xdr:twoCellAnchor>
  <xdr:twoCellAnchor>
    <xdr:from>
      <xdr:col>35</xdr:col>
      <xdr:colOff>152360</xdr:colOff>
      <xdr:row>1</xdr:row>
      <xdr:rowOff>95769</xdr:rowOff>
    </xdr:from>
    <xdr:to>
      <xdr:col>40</xdr:col>
      <xdr:colOff>167699</xdr:colOff>
      <xdr:row>5</xdr:row>
      <xdr:rowOff>87398</xdr:rowOff>
    </xdr:to>
    <xdr:sp macro="" textlink="">
      <xdr:nvSpPr>
        <xdr:cNvPr id="72" name="Rectangle: Rounded Corners 71">
          <a:hlinkClick xmlns:r="http://schemas.openxmlformats.org/officeDocument/2006/relationships" r:id="rId11"/>
          <a:extLst>
            <a:ext uri="{FF2B5EF4-FFF2-40B4-BE49-F238E27FC236}">
              <a16:creationId xmlns:a16="http://schemas.microsoft.com/office/drawing/2014/main" id="{65F06626-E3A3-4EDC-BD33-D772AB2F4A03}"/>
            </a:ext>
          </a:extLst>
        </xdr:cNvPr>
        <xdr:cNvSpPr/>
      </xdr:nvSpPr>
      <xdr:spPr>
        <a:xfrm>
          <a:off x="23216039" y="275486"/>
          <a:ext cx="3310151"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DETAILED ANALYSIS</a:t>
          </a:r>
        </a:p>
      </xdr:txBody>
    </xdr:sp>
    <xdr:clientData/>
  </xdr:twoCellAnchor>
  <xdr:twoCellAnchor>
    <xdr:from>
      <xdr:col>40</xdr:col>
      <xdr:colOff>224636</xdr:colOff>
      <xdr:row>1</xdr:row>
      <xdr:rowOff>129107</xdr:rowOff>
    </xdr:from>
    <xdr:to>
      <xdr:col>44</xdr:col>
      <xdr:colOff>323205</xdr:colOff>
      <xdr:row>5</xdr:row>
      <xdr:rowOff>120736</xdr:rowOff>
    </xdr:to>
    <xdr:sp macro="[0]!ExportDashboardToPDF" textlink="">
      <xdr:nvSpPr>
        <xdr:cNvPr id="81" name="Rectangle: Rounded Corners 80">
          <a:hlinkClick xmlns:r="http://schemas.openxmlformats.org/officeDocument/2006/relationships" r:id="rId11"/>
          <a:extLst>
            <a:ext uri="{FF2B5EF4-FFF2-40B4-BE49-F238E27FC236}">
              <a16:creationId xmlns:a16="http://schemas.microsoft.com/office/drawing/2014/main" id="{7EFCFBB8-6062-40C3-AF80-E743D1D72444}"/>
            </a:ext>
          </a:extLst>
        </xdr:cNvPr>
        <xdr:cNvSpPr/>
      </xdr:nvSpPr>
      <xdr:spPr>
        <a:xfrm>
          <a:off x="26583127" y="308824"/>
          <a:ext cx="2734418" cy="710497"/>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rgbClr val="75162D"/>
              </a:solidFill>
              <a:latin typeface="Segoe UI Black" panose="020B0A02040204020203" pitchFamily="34" charset="0"/>
              <a:ea typeface="Segoe UI Black" panose="020B0A02040204020203" pitchFamily="34" charset="0"/>
              <a:cs typeface="+mn-cs"/>
            </a:rPr>
            <a:t>PDF</a:t>
          </a:r>
          <a:r>
            <a:rPr lang="en-US" sz="2000" baseline="0">
              <a:solidFill>
                <a:srgbClr val="75162D"/>
              </a:solidFill>
              <a:latin typeface="Segoe UI Black" panose="020B0A02040204020203" pitchFamily="34" charset="0"/>
              <a:ea typeface="Segoe UI Black" panose="020B0A02040204020203" pitchFamily="34" charset="0"/>
              <a:cs typeface="+mn-cs"/>
            </a:rPr>
            <a:t> Export</a:t>
          </a:r>
          <a:endParaRPr lang="en-US" sz="2000">
            <a:solidFill>
              <a:srgbClr val="75162D"/>
            </a:solidFill>
            <a:latin typeface="Segoe UI Black" panose="020B0A02040204020203" pitchFamily="34" charset="0"/>
            <a:ea typeface="Segoe UI Black" panose="020B0A02040204020203" pitchFamily="34" charset="0"/>
            <a:cs typeface="+mn-cs"/>
          </a:endParaRPr>
        </a:p>
      </xdr:txBody>
    </xdr:sp>
    <xdr:clientData/>
  </xdr:twoCellAnchor>
  <xdr:twoCellAnchor editAs="oneCell">
    <xdr:from>
      <xdr:col>36</xdr:col>
      <xdr:colOff>128253</xdr:colOff>
      <xdr:row>6</xdr:row>
      <xdr:rowOff>174931</xdr:rowOff>
    </xdr:from>
    <xdr:to>
      <xdr:col>44</xdr:col>
      <xdr:colOff>518695</xdr:colOff>
      <xdr:row>15</xdr:row>
      <xdr:rowOff>172976</xdr:rowOff>
    </xdr:to>
    <mc:AlternateContent xmlns:mc="http://schemas.openxmlformats.org/markup-compatibility/2006" xmlns:tsle="http://schemas.microsoft.com/office/drawing/2012/timeslicer">
      <mc:Choice Requires="tsle">
        <xdr:graphicFrame macro="">
          <xdr:nvGraphicFramePr>
            <xdr:cNvPr id="82" name="Order_Date 1">
              <a:extLst>
                <a:ext uri="{FF2B5EF4-FFF2-40B4-BE49-F238E27FC236}">
                  <a16:creationId xmlns:a16="http://schemas.microsoft.com/office/drawing/2014/main" id="{AFA81CBF-2BE8-4B67-8C72-753DD5D73CA3}"/>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24191411" y="1177563"/>
              <a:ext cx="5737810" cy="15019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163937</xdr:colOff>
      <xdr:row>1</xdr:row>
      <xdr:rowOff>52975</xdr:rowOff>
    </xdr:from>
    <xdr:to>
      <xdr:col>4</xdr:col>
      <xdr:colOff>139583</xdr:colOff>
      <xdr:row>5</xdr:row>
      <xdr:rowOff>113425</xdr:rowOff>
    </xdr:to>
    <xdr:pic>
      <xdr:nvPicPr>
        <xdr:cNvPr id="83" name="Picture 82">
          <a:extLst>
            <a:ext uri="{FF2B5EF4-FFF2-40B4-BE49-F238E27FC236}">
              <a16:creationId xmlns:a16="http://schemas.microsoft.com/office/drawing/2014/main" id="{CBFE860C-80D0-452C-9CEF-A02BC2C51DC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63937" y="232692"/>
          <a:ext cx="2611495" cy="77931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a" refreshedDate="46185.857236226853" createdVersion="8" refreshedVersion="8" minRefreshableVersion="3" recordCount="240" xr:uid="{51E4B050-2308-4048-B86E-24C27A22C025}">
  <cacheSource type="worksheet">
    <worksheetSource name="SalesDataTable"/>
  </cacheSource>
  <cacheFields count="23">
    <cacheField name="Order_ID" numFmtId="49">
      <sharedItems count="240">
        <s v="ORD-2025-0001"/>
        <s v="ORD-2025-0002"/>
        <s v="ORD-2025-0003"/>
        <s v="ORD-2025-0004"/>
        <s v="ORD-2025-0005"/>
        <s v="ORD-2025-0006"/>
        <s v="ORD-2025-0007"/>
        <s v="ORD-2025-0008"/>
        <s v="ORD-2025-0009"/>
        <s v="ORD-2025-0010"/>
        <s v="ORD-2025-0011"/>
        <s v="ORD-2025-0012"/>
        <s v="ORD-2025-0013"/>
        <s v="ORD-2025-0014"/>
        <s v="ORD-2025-0015"/>
        <s v="ORD-2025-0016"/>
        <s v="ORD-2025-0017"/>
        <s v="ORD-2025-0018"/>
        <s v="ORD-2025-0019"/>
        <s v="ORD-2025-0020"/>
        <s v="ORD-2025-0021"/>
        <s v="ORD-2025-0022"/>
        <s v="ORD-2025-0023"/>
        <s v="ORD-2025-0024"/>
        <s v="ORD-2025-0025"/>
        <s v="ORD-2025-0026"/>
        <s v="ORD-2025-0027"/>
        <s v="ORD-2025-0028"/>
        <s v="ORD-2025-0029"/>
        <s v="ORD-2025-0030"/>
        <s v="ORD-2025-0031"/>
        <s v="ORD-2025-0032"/>
        <s v="ORD-2025-0033"/>
        <s v="ORD-2025-0034"/>
        <s v="ORD-2025-0035"/>
        <s v="ORD-2025-0036"/>
        <s v="ORD-2025-0037"/>
        <s v="ORD-2025-0038"/>
        <s v="ORD-2025-0039"/>
        <s v="ORD-2025-0040"/>
        <s v="ORD-2025-0041"/>
        <s v="ORD-2025-0042"/>
        <s v="ORD-2025-0043"/>
        <s v="ORD-2025-0044"/>
        <s v="ORD-2025-0045"/>
        <s v="ORD-2025-0046"/>
        <s v="ORD-2025-0047"/>
        <s v="ORD-2025-0048"/>
        <s v="ORD-2025-0049"/>
        <s v="ORD-2025-0050"/>
        <s v="ORD-2025-0051"/>
        <s v="ORD-2025-0052"/>
        <s v="ORD-2025-0053"/>
        <s v="ORD-2025-0054"/>
        <s v="ORD-2025-0055"/>
        <s v="ORD-2025-0056"/>
        <s v="ORD-2025-0057"/>
        <s v="ORD-2025-0058"/>
        <s v="ORD-2025-0059"/>
        <s v="ORD-2025-0060"/>
        <s v="ORD-2025-0061"/>
        <s v="ORD-2025-0062"/>
        <s v="ORD-2025-0063"/>
        <s v="ORD-2025-0064"/>
        <s v="ORD-2025-0065"/>
        <s v="ORD-2025-0066"/>
        <s v="ORD-2025-0067"/>
        <s v="ORD-2025-0068"/>
        <s v="ORD-2025-0069"/>
        <s v="ORD-2025-0070"/>
        <s v="ORD-2025-0071"/>
        <s v="ORD-2025-0072"/>
        <s v="ORD-2025-0073"/>
        <s v="ORD-2025-0074"/>
        <s v="ORD-2025-0075"/>
        <s v="ORD-2025-0076"/>
        <s v="ORD-2025-0077"/>
        <s v="ORD-2025-0078"/>
        <s v="ORD-2025-0079"/>
        <s v="ORD-2025-0080"/>
        <s v="ORD-2025-0081"/>
        <s v="ORD-2025-0082"/>
        <s v="ORD-2025-0083"/>
        <s v="ORD-2025-0084"/>
        <s v="ORD-2025-0085"/>
        <s v="ORD-2025-0086"/>
        <s v="ORD-2025-0087"/>
        <s v="ORD-2025-0088"/>
        <s v="ORD-2025-0089"/>
        <s v="ORD-2025-0090"/>
        <s v="ORD-2025-0091"/>
        <s v="ORD-2025-0092"/>
        <s v="ORD-2025-0093"/>
        <s v="ORD-2025-0094"/>
        <s v="ORD-2025-0095"/>
        <s v="ORD-2025-0096"/>
        <s v="ORD-2025-0097"/>
        <s v="ORD-2025-0098"/>
        <s v="ORD-2025-0099"/>
        <s v="ORD-2025-0100"/>
        <s v="ORD-2025-0101"/>
        <s v="ORD-2025-0102"/>
        <s v="ORD-2025-0103"/>
        <s v="ORD-2025-0104"/>
        <s v="ORD-2025-0105"/>
        <s v="ORD-2025-0106"/>
        <s v="ORD-2025-0107"/>
        <s v="ORD-2025-0108"/>
        <s v="ORD-2025-0109"/>
        <s v="ORD-2025-0110"/>
        <s v="ORD-2025-0111"/>
        <s v="ORD-2025-0112"/>
        <s v="ORD-2025-0113"/>
        <s v="ORD-2025-0114"/>
        <s v="ORD-2025-0115"/>
        <s v="ORD-2025-0116"/>
        <s v="ORD-2025-0117"/>
        <s v="ORD-2025-0118"/>
        <s v="ORD-2025-0119"/>
        <s v="ORD-2025-0120"/>
        <s v="ORD-2025-0121"/>
        <s v="ORD-2025-0122"/>
        <s v="ORD-2025-0123"/>
        <s v="ORD-2025-0124"/>
        <s v="ORD-2025-0125"/>
        <s v="ORD-2025-0126"/>
        <s v="ORD-2025-0127"/>
        <s v="ORD-2025-0128"/>
        <s v="ORD-2025-0129"/>
        <s v="ORD-2025-0130"/>
        <s v="ORD-2025-0131"/>
        <s v="ORD-2025-0132"/>
        <s v="ORD-2025-0133"/>
        <s v="ORD-2025-0134"/>
        <s v="ORD-2025-0135"/>
        <s v="ORD-2025-0136"/>
        <s v="ORD-2025-0137"/>
        <s v="ORD-2025-0138"/>
        <s v="ORD-2025-0139"/>
        <s v="ORD-2025-0140"/>
        <s v="ORD-2025-0141"/>
        <s v="ORD-2025-0142"/>
        <s v="ORD-2025-0143"/>
        <s v="ORD-2025-0144"/>
        <s v="ORD-2025-0145"/>
        <s v="ORD-2025-0146"/>
        <s v="ORD-2025-0147"/>
        <s v="ORD-2025-0148"/>
        <s v="ORD-2025-0149"/>
        <s v="ORD-2025-0150"/>
        <s v="ORD-2025-0151"/>
        <s v="ORD-2025-0152"/>
        <s v="ORD-2025-0153"/>
        <s v="ORD-2025-0154"/>
        <s v="ORD-2025-0155"/>
        <s v="ORD-2025-0156"/>
        <s v="ORD-2025-0157"/>
        <s v="ORD-2025-0158"/>
        <s v="ORD-2025-0159"/>
        <s v="ORD-2025-0160"/>
        <s v="ORD-2025-0161"/>
        <s v="ORD-2025-0162"/>
        <s v="ORD-2025-0163"/>
        <s v="ORD-2025-0164"/>
        <s v="ORD-2025-0165"/>
        <s v="ORD-2025-0166"/>
        <s v="ORD-2025-0167"/>
        <s v="ORD-2025-0168"/>
        <s v="ORD-2025-0169"/>
        <s v="ORD-2025-0170"/>
        <s v="ORD-2025-0171"/>
        <s v="ORD-2025-0172"/>
        <s v="ORD-2025-0173"/>
        <s v="ORD-2025-0174"/>
        <s v="ORD-2025-0175"/>
        <s v="ORD-2025-0176"/>
        <s v="ORD-2025-0177"/>
        <s v="ORD-2025-0178"/>
        <s v="ORD-2025-0179"/>
        <s v="ORD-2025-0180"/>
        <s v="ORD-2025-0181"/>
        <s v="ORD-2025-0182"/>
        <s v="ORD-2025-0183"/>
        <s v="ORD-2025-0184"/>
        <s v="ORD-2025-0185"/>
        <s v="ORD-2025-0186"/>
        <s v="ORD-2025-0187"/>
        <s v="ORD-2025-0188"/>
        <s v="ORD-2025-0189"/>
        <s v="ORD-2025-0190"/>
        <s v="ORD-2025-0191"/>
        <s v="ORD-2025-0192"/>
        <s v="ORD-2025-0193"/>
        <s v="ORD-2025-0194"/>
        <s v="ORD-2025-0195"/>
        <s v="ORD-2025-0196"/>
        <s v="ORD-2025-0197"/>
        <s v="ORD-2025-0198"/>
        <s v="ORD-2025-0199"/>
        <s v="ORD-2025-0200"/>
        <s v="ORD-2025-0201"/>
        <s v="ORD-2025-0202"/>
        <s v="ORD-2025-0203"/>
        <s v="ORD-2025-0204"/>
        <s v="ORD-2025-0205"/>
        <s v="ORD-2025-0206"/>
        <s v="ORD-2025-0207"/>
        <s v="ORD-2025-0208"/>
        <s v="ORD-2025-0209"/>
        <s v="ORD-2025-0210"/>
        <s v="ORD-2025-0211"/>
        <s v="ORD-2025-0212"/>
        <s v="ORD-2025-0213"/>
        <s v="ORD-2025-0214"/>
        <s v="ORD-2025-0215"/>
        <s v="ORD-2025-0216"/>
        <s v="ORD-2025-0217"/>
        <s v="ORD-2025-0218"/>
        <s v="ORD-2025-0219"/>
        <s v="ORD-2025-0220"/>
        <s v="ORD-2025-0221"/>
        <s v="ORD-2025-0222"/>
        <s v="ORD-2025-0223"/>
        <s v="ORD-2025-0224"/>
        <s v="ORD-2025-0225"/>
        <s v="ORD-2025-0226"/>
        <s v="ORD-2025-0227"/>
        <s v="ORD-2025-0228"/>
        <s v="ORD-2025-0229"/>
        <s v="ORD-2025-0230"/>
        <s v="ORD-2025-0231"/>
        <s v="ORD-2025-0232"/>
        <s v="ORD-2025-0233"/>
        <s v="ORD-2025-0234"/>
        <s v="ORD-2025-0235"/>
        <s v="ORD-2025-0236"/>
        <s v="ORD-2025-0237"/>
        <s v="ORD-2025-0238"/>
        <s v="ORD-2025-0239"/>
        <s v="ORD-2025-0240"/>
      </sharedItems>
    </cacheField>
    <cacheField name="Order_Date" numFmtId="164">
      <sharedItems containsSemiMixedTypes="0" containsNonDate="0" containsDate="1" containsString="0" minDate="2025-01-01T00:00:00" maxDate="2025-12-30T00:00:00" count="177">
        <d v="2025-11-24T00:00:00"/>
        <d v="2025-11-29T00:00:00"/>
        <d v="2025-07-14T00:00:00"/>
        <d v="2025-12-27T00:00:00"/>
        <d v="2025-05-17T00:00:00"/>
        <d v="2025-07-25T00:00:00"/>
        <d v="2025-07-24T00:00:00"/>
        <d v="2025-11-02T00:00:00"/>
        <d v="2025-04-02T00:00:00"/>
        <d v="2025-05-04T00:00:00"/>
        <d v="2025-10-04T00:00:00"/>
        <d v="2025-12-29T00:00:00"/>
        <d v="2025-08-31T00:00:00"/>
        <d v="2025-02-25T00:00:00"/>
        <d v="2025-12-23T00:00:00"/>
        <d v="2025-09-18T00:00:00"/>
        <d v="2025-05-14T00:00:00"/>
        <d v="2025-04-20T00:00:00"/>
        <d v="2025-10-11T00:00:00"/>
        <d v="2025-05-09T00:00:00"/>
        <d v="2025-02-08T00:00:00"/>
        <d v="2025-04-18T00:00:00"/>
        <d v="2025-07-30T00:00:00"/>
        <d v="2025-12-04T00:00:00"/>
        <d v="2025-05-16T00:00:00"/>
        <d v="2025-12-10T00:00:00"/>
        <d v="2025-04-09T00:00:00"/>
        <d v="2025-08-15T00:00:00"/>
        <d v="2025-09-01T00:00:00"/>
        <d v="2025-04-23T00:00:00"/>
        <d v="2025-02-09T00:00:00"/>
        <d v="2025-08-27T00:00:00"/>
        <d v="2025-08-03T00:00:00"/>
        <d v="2025-07-21T00:00:00"/>
        <d v="2025-08-04T00:00:00"/>
        <d v="2025-05-03T00:00:00"/>
        <d v="2025-10-22T00:00:00"/>
        <d v="2025-10-17T00:00:00"/>
        <d v="2025-08-11T00:00:00"/>
        <d v="2025-02-14T00:00:00"/>
        <d v="2025-04-24T00:00:00"/>
        <d v="2025-01-08T00:00:00"/>
        <d v="2025-04-05T00:00:00"/>
        <d v="2025-05-08T00:00:00"/>
        <d v="2025-04-17T00:00:00"/>
        <d v="2025-05-25T00:00:00"/>
        <d v="2025-03-26T00:00:00"/>
        <d v="2025-08-10T00:00:00"/>
        <d v="2025-05-23T00:00:00"/>
        <d v="2025-11-15T00:00:00"/>
        <d v="2025-06-09T00:00:00"/>
        <d v="2025-08-01T00:00:00"/>
        <d v="2025-01-02T00:00:00"/>
        <d v="2025-12-24T00:00:00"/>
        <d v="2025-10-30T00:00:00"/>
        <d v="2025-02-16T00:00:00"/>
        <d v="2025-12-13T00:00:00"/>
        <d v="2025-07-15T00:00:00"/>
        <d v="2025-09-12T00:00:00"/>
        <d v="2025-01-18T00:00:00"/>
        <d v="2025-05-12T00:00:00"/>
        <d v="2025-07-22T00:00:00"/>
        <d v="2025-11-14T00:00:00"/>
        <d v="2025-05-01T00:00:00"/>
        <d v="2025-07-09T00:00:00"/>
        <d v="2025-08-21T00:00:00"/>
        <d v="2025-04-30T00:00:00"/>
        <d v="2025-05-02T00:00:00"/>
        <d v="2025-02-11T00:00:00"/>
        <d v="2025-02-28T00:00:00"/>
        <d v="2025-12-18T00:00:00"/>
        <d v="2025-12-07T00:00:00"/>
        <d v="2025-03-15T00:00:00"/>
        <d v="2025-03-21T00:00:00"/>
        <d v="2025-05-26T00:00:00"/>
        <d v="2025-03-03T00:00:00"/>
        <d v="2025-07-05T00:00:00"/>
        <d v="2025-10-16T00:00:00"/>
        <d v="2025-02-07T00:00:00"/>
        <d v="2025-10-20T00:00:00"/>
        <d v="2025-09-26T00:00:00"/>
        <d v="2025-12-03T00:00:00"/>
        <d v="2025-02-21T00:00:00"/>
        <d v="2025-09-15T00:00:00"/>
        <d v="2025-03-24T00:00:00"/>
        <d v="2025-08-29T00:00:00"/>
        <d v="2025-01-25T00:00:00"/>
        <d v="2025-11-11T00:00:00"/>
        <d v="2025-06-30T00:00:00"/>
        <d v="2025-04-13T00:00:00"/>
        <d v="2025-07-08T00:00:00"/>
        <d v="2025-06-14T00:00:00"/>
        <d v="2025-02-04T00:00:00"/>
        <d v="2025-07-23T00:00:00"/>
        <d v="2025-09-09T00:00:00"/>
        <d v="2025-05-29T00:00:00"/>
        <d v="2025-10-10T00:00:00"/>
        <d v="2025-08-19T00:00:00"/>
        <d v="2025-02-17T00:00:00"/>
        <d v="2025-03-22T00:00:00"/>
        <d v="2025-06-10T00:00:00"/>
        <d v="2025-01-27T00:00:00"/>
        <d v="2025-06-23T00:00:00"/>
        <d v="2025-11-10T00:00:00"/>
        <d v="2025-10-26T00:00:00"/>
        <d v="2025-12-15T00:00:00"/>
        <d v="2025-02-01T00:00:00"/>
        <d v="2025-05-21T00:00:00"/>
        <d v="2025-09-03T00:00:00"/>
        <d v="2025-05-28T00:00:00"/>
        <d v="2025-04-06T00:00:00"/>
        <d v="2025-06-18T00:00:00"/>
        <d v="2025-04-22T00:00:00"/>
        <d v="2025-06-17T00:00:00"/>
        <d v="2025-06-07T00:00:00"/>
        <d v="2025-08-30T00:00:00"/>
        <d v="2025-12-05T00:00:00"/>
        <d v="2025-10-06T00:00:00"/>
        <d v="2025-08-07T00:00:00"/>
        <d v="2025-06-03T00:00:00"/>
        <d v="2025-04-08T00:00:00"/>
        <d v="2025-01-09T00:00:00"/>
        <d v="2025-09-08T00:00:00"/>
        <d v="2025-12-09T00:00:00"/>
        <d v="2025-02-19T00:00:00"/>
        <d v="2025-02-18T00:00:00"/>
        <d v="2025-10-28T00:00:00"/>
        <d v="2025-06-27T00:00:00"/>
        <d v="2025-07-12T00:00:00"/>
        <d v="2025-06-12T00:00:00"/>
        <d v="2025-02-15T00:00:00"/>
        <d v="2025-03-28T00:00:00"/>
        <d v="2025-11-17T00:00:00"/>
        <d v="2025-11-05T00:00:00"/>
        <d v="2025-03-13T00:00:00"/>
        <d v="2025-07-04T00:00:00"/>
        <d v="2025-12-19T00:00:00"/>
        <d v="2025-03-14T00:00:00"/>
        <d v="2025-06-25T00:00:00"/>
        <d v="2025-10-02T00:00:00"/>
        <d v="2025-08-23T00:00:00"/>
        <d v="2025-07-03T00:00:00"/>
        <d v="2025-01-16T00:00:00"/>
        <d v="2025-06-28T00:00:00"/>
        <d v="2025-01-31T00:00:00"/>
        <d v="2025-11-20T00:00:00"/>
        <d v="2025-01-01T00:00:00"/>
        <d v="2025-03-10T00:00:00"/>
        <d v="2025-12-20T00:00:00"/>
        <d v="2025-10-03T00:00:00"/>
        <d v="2025-08-12T00:00:00"/>
        <d v="2025-03-25T00:00:00"/>
        <d v="2025-05-15T00:00:00"/>
        <d v="2025-10-07T00:00:00"/>
        <d v="2025-09-29T00:00:00"/>
        <d v="2025-02-13T00:00:00"/>
        <d v="2025-02-03T00:00:00"/>
        <d v="2025-09-13T00:00:00"/>
        <d v="2025-03-30T00:00:00"/>
        <d v="2025-03-31T00:00:00"/>
        <d v="2025-06-15T00:00:00"/>
        <d v="2025-03-11T00:00:00"/>
        <d v="2025-06-13T00:00:00"/>
        <d v="2025-01-14T00:00:00"/>
        <d v="2025-07-31T00:00:00"/>
        <d v="2025-09-22T00:00:00"/>
        <d v="2025-11-18T00:00:00"/>
        <d v="2025-02-27T00:00:00"/>
        <d v="2025-07-10T00:00:00"/>
        <d v="2025-08-02T00:00:00"/>
        <d v="2025-03-05T00:00:00"/>
        <d v="2025-07-17T00:00:00"/>
        <d v="2025-03-09T00:00:00"/>
        <d v="2025-05-22T00:00:00"/>
        <d v="2025-05-13T00:00:00"/>
        <d v="2025-04-04T00:00:00"/>
        <d v="2025-11-21T00:00:00"/>
      </sharedItems>
    </cacheField>
    <cacheField name="Year" numFmtId="164">
      <sharedItems/>
    </cacheField>
    <cacheField name="Month Name" numFmtId="164">
      <sharedItems count="12">
        <s v="Nov"/>
        <s v="Jul"/>
        <s v="Dec"/>
        <s v="May"/>
        <s v="Apr"/>
        <s v="Oct"/>
        <s v="Aug"/>
        <s v="Feb"/>
        <s v="Sep"/>
        <s v="Jan"/>
        <s v="Mar"/>
        <s v="Jun"/>
      </sharedItems>
    </cacheField>
    <cacheField name="Month" numFmtId="0">
      <sharedItems/>
    </cacheField>
    <cacheField name="Customer_Segment" numFmtId="49">
      <sharedItems count="3">
        <s v="Corporate"/>
        <s v="Consumer"/>
        <s v="Small Business"/>
      </sharedItems>
    </cacheField>
    <cacheField name="Region" numFmtId="49">
      <sharedItems count="4">
        <s v="North"/>
        <s v="West"/>
        <s v="East"/>
        <s v="South"/>
      </sharedItems>
    </cacheField>
    <cacheField name="City" numFmtId="49">
      <sharedItems count="12">
        <s v="Islamabad"/>
        <s v="Multan"/>
        <s v="Rawalpindi"/>
        <s v="Peshawar"/>
        <s v="Lahore"/>
        <s v="Sukkur"/>
        <s v="Quetta"/>
        <s v="Karachi"/>
        <s v="Sialkot"/>
        <s v="Hyderabad"/>
        <s v="Bahawalpur"/>
        <s v="Faisalabad"/>
      </sharedItems>
    </cacheField>
    <cacheField name="Category" numFmtId="49">
      <sharedItems count="4">
        <s v="Furniture"/>
        <s v="Technology"/>
        <s v="Accessories"/>
        <s v="Office Supplies"/>
      </sharedItems>
    </cacheField>
    <cacheField name="Product" numFmtId="49">
      <sharedItems count="16">
        <s v="Standing Desk"/>
        <s v="USB Drive"/>
        <s v="Webcam"/>
        <s v="Bookshelf"/>
        <s v="Desk Organizer"/>
        <s v="Headset"/>
        <s v="Notebook Pack"/>
        <s v="Keyboard"/>
        <s v="Office Chair"/>
        <s v="Pen Set"/>
        <s v="Printer Paper"/>
        <s v="Laptop Bag"/>
        <s v="Wireless Mouse"/>
        <s v="Power Bank"/>
        <s v="Laptop Stand"/>
        <s v="Filing Cabinet"/>
      </sharedItems>
    </cacheField>
    <cacheField name="Sales_Channel" numFmtId="49">
      <sharedItems count="3">
        <s v="Online"/>
        <s v="Distributor"/>
        <s v="Retail Store"/>
      </sharedItems>
    </cacheField>
    <cacheField name="Payment_Method" numFmtId="49">
      <sharedItems count="4">
        <s v="Cash"/>
        <s v="Credit Card"/>
        <s v="Mobile Wallet"/>
        <s v="Bank Transfer"/>
      </sharedItems>
    </cacheField>
    <cacheField name="Sales_Rep" numFmtId="49">
      <sharedItems count="6">
        <s v="Mariam"/>
        <s v="Omar"/>
        <s v="Hamza"/>
        <s v="Bilal"/>
        <s v="Ayesha"/>
        <s v="Fatima"/>
      </sharedItems>
    </cacheField>
    <cacheField name="Units_Sold" numFmtId="1">
      <sharedItems containsSemiMixedTypes="0" containsString="0" containsNumber="1" containsInteger="1" minValue="1" maxValue="25"/>
    </cacheField>
    <cacheField name="Unit_Price" numFmtId="166">
      <sharedItems containsSemiMixedTypes="0" containsString="0" containsNumber="1" minValue="9.01" maxValue="290.08999999999997"/>
    </cacheField>
    <cacheField name="Discount_Pct" numFmtId="10">
      <sharedItems containsSemiMixedTypes="0" containsString="0" containsNumber="1" minValue="0" maxValue="0.2" count="5">
        <n v="0"/>
        <n v="0.2"/>
        <n v="0.05"/>
        <n v="0.1"/>
        <n v="0.15"/>
      </sharedItems>
    </cacheField>
    <cacheField name="Unit_Cost" numFmtId="166">
      <sharedItems containsSemiMixedTypes="0" containsString="0" containsNumber="1" minValue="4.16" maxValue="181.85"/>
    </cacheField>
    <cacheField name="Revenue" numFmtId="166">
      <sharedItems containsSemiMixedTypes="0" containsString="0" containsNumber="1" minValue="19.206" maxValue="1818.3899999999999"/>
    </cacheField>
    <cacheField name="Total_Cost" numFmtId="166">
      <sharedItems containsSemiMixedTypes="0" containsString="0" containsNumber="1" minValue="8.82" maxValue="1213.03"/>
    </cacheField>
    <cacheField name="Profit" numFmtId="166">
      <sharedItems containsSemiMixedTypes="0" containsString="0" containsNumber="1" minValue="8.9560000000000013" maxValue="768.59999999999991"/>
    </cacheField>
    <cacheField name="Profit_Margin" numFmtId="10">
      <sharedItems containsSemiMixedTypes="0" containsString="0" containsNumber="1" minValue="0.14768893387314455" maxValue="0.60717571297148121"/>
    </cacheField>
    <cacheField name="Delivery_Days" numFmtId="1">
      <sharedItems containsSemiMixedTypes="0" containsString="0" containsNumber="1" containsInteger="1" minValue="1" maxValue="9"/>
    </cacheField>
    <cacheField name="Customer_Rating" numFmtId="165">
      <sharedItems containsSemiMixedTypes="0" containsString="0" containsNumber="1" containsInteger="1" minValue="3" maxValue="5"/>
    </cacheField>
  </cacheFields>
  <extLst>
    <ext xmlns:x14="http://schemas.microsoft.com/office/spreadsheetml/2009/9/main" uri="{725AE2AE-9491-48be-B2B4-4EB974FC3084}">
      <x14:pivotCacheDefinition pivotCacheId="3855647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x v="0"/>
    <s v="2025"/>
    <x v="0"/>
    <s v="Nov 2025"/>
    <x v="0"/>
    <x v="0"/>
    <x v="0"/>
    <x v="0"/>
    <x v="0"/>
    <x v="0"/>
    <x v="0"/>
    <x v="0"/>
    <n v="7"/>
    <n v="235.82"/>
    <x v="0"/>
    <n v="158.94999999999999"/>
    <n v="1650.74"/>
    <n v="1112.6499999999999"/>
    <n v="538.09000000000015"/>
    <n v="0.32596895937579518"/>
    <n v="1"/>
    <n v="4"/>
  </r>
  <r>
    <x v="1"/>
    <x v="1"/>
    <s v="2025"/>
    <x v="0"/>
    <s v="Nov 2025"/>
    <x v="1"/>
    <x v="1"/>
    <x v="1"/>
    <x v="1"/>
    <x v="1"/>
    <x v="1"/>
    <x v="1"/>
    <x v="1"/>
    <n v="7"/>
    <n v="21.45"/>
    <x v="1"/>
    <n v="10.39"/>
    <n v="120.12"/>
    <n v="72.73"/>
    <n v="47.39"/>
    <n v="0.39452214452214451"/>
    <n v="6"/>
    <n v="3"/>
  </r>
  <r>
    <x v="2"/>
    <x v="2"/>
    <s v="2025"/>
    <x v="1"/>
    <s v="Jul 2025"/>
    <x v="0"/>
    <x v="0"/>
    <x v="2"/>
    <x v="2"/>
    <x v="2"/>
    <x v="1"/>
    <x v="0"/>
    <x v="2"/>
    <n v="4"/>
    <n v="76.61"/>
    <x v="2"/>
    <n v="47.37"/>
    <n v="291.11799999999999"/>
    <n v="189.48"/>
    <n v="101.63800000000001"/>
    <n v="0.34912990608619188"/>
    <n v="6"/>
    <n v="5"/>
  </r>
  <r>
    <x v="3"/>
    <x v="3"/>
    <s v="2025"/>
    <x v="2"/>
    <s v="Dec 2025"/>
    <x v="2"/>
    <x v="0"/>
    <x v="0"/>
    <x v="0"/>
    <x v="3"/>
    <x v="1"/>
    <x v="0"/>
    <x v="2"/>
    <n v="5"/>
    <n v="139.97"/>
    <x v="0"/>
    <n v="94.81"/>
    <n v="699.85"/>
    <n v="474.05"/>
    <n v="225.8"/>
    <n v="0.32264056583553619"/>
    <n v="6"/>
    <n v="4"/>
  </r>
  <r>
    <x v="4"/>
    <x v="4"/>
    <s v="2025"/>
    <x v="3"/>
    <s v="May 2025"/>
    <x v="1"/>
    <x v="0"/>
    <x v="3"/>
    <x v="0"/>
    <x v="0"/>
    <x v="0"/>
    <x v="1"/>
    <x v="1"/>
    <n v="6"/>
    <n v="282.20999999999998"/>
    <x v="0"/>
    <n v="177.51"/>
    <n v="1693.2599999999998"/>
    <n v="1065.06"/>
    <n v="628.19999999999982"/>
    <n v="0.37100031891144886"/>
    <n v="1"/>
    <n v="5"/>
  </r>
  <r>
    <x v="5"/>
    <x v="5"/>
    <s v="2025"/>
    <x v="1"/>
    <s v="Jul 2025"/>
    <x v="1"/>
    <x v="2"/>
    <x v="4"/>
    <x v="3"/>
    <x v="4"/>
    <x v="0"/>
    <x v="2"/>
    <x v="3"/>
    <n v="10"/>
    <n v="23.27"/>
    <x v="2"/>
    <n v="14.55"/>
    <n v="221.06499999999997"/>
    <n v="145.5"/>
    <n v="75.564999999999969"/>
    <n v="0.34182254088164105"/>
    <n v="7"/>
    <n v="5"/>
  </r>
  <r>
    <x v="6"/>
    <x v="6"/>
    <s v="2025"/>
    <x v="1"/>
    <s v="Jul 2025"/>
    <x v="1"/>
    <x v="2"/>
    <x v="4"/>
    <x v="2"/>
    <x v="5"/>
    <x v="2"/>
    <x v="0"/>
    <x v="4"/>
    <n v="6"/>
    <n v="67.47"/>
    <x v="2"/>
    <n v="39.78"/>
    <n v="384.57899999999995"/>
    <n v="238.68"/>
    <n v="145.89899999999994"/>
    <n v="0.37937328871311216"/>
    <n v="2"/>
    <n v="4"/>
  </r>
  <r>
    <x v="7"/>
    <x v="7"/>
    <s v="2025"/>
    <x v="0"/>
    <s v="Nov 2025"/>
    <x v="1"/>
    <x v="1"/>
    <x v="5"/>
    <x v="3"/>
    <x v="6"/>
    <x v="2"/>
    <x v="3"/>
    <x v="1"/>
    <n v="12"/>
    <n v="11.09"/>
    <x v="2"/>
    <n v="6.43"/>
    <n v="126.42599999999997"/>
    <n v="77.16"/>
    <n v="49.265999999999977"/>
    <n v="0.38968250201699006"/>
    <n v="5"/>
    <n v="5"/>
  </r>
  <r>
    <x v="8"/>
    <x v="8"/>
    <s v="2025"/>
    <x v="4"/>
    <s v="Apr 2025"/>
    <x v="0"/>
    <x v="0"/>
    <x v="3"/>
    <x v="1"/>
    <x v="7"/>
    <x v="0"/>
    <x v="0"/>
    <x v="0"/>
    <n v="6"/>
    <n v="45.34"/>
    <x v="2"/>
    <n v="25.32"/>
    <n v="258.43799999999999"/>
    <n v="151.92000000000002"/>
    <n v="106.51799999999997"/>
    <n v="0.41216075035405003"/>
    <n v="5"/>
    <n v="4"/>
  </r>
  <r>
    <x v="9"/>
    <x v="9"/>
    <s v="2025"/>
    <x v="3"/>
    <s v="May 2025"/>
    <x v="1"/>
    <x v="0"/>
    <x v="0"/>
    <x v="0"/>
    <x v="8"/>
    <x v="1"/>
    <x v="1"/>
    <x v="3"/>
    <n v="8"/>
    <n v="133"/>
    <x v="2"/>
    <n v="70.98"/>
    <n v="1010.8"/>
    <n v="567.84"/>
    <n v="442.95999999999992"/>
    <n v="0.43822714681440439"/>
    <n v="7"/>
    <n v="5"/>
  </r>
  <r>
    <x v="10"/>
    <x v="10"/>
    <s v="2025"/>
    <x v="5"/>
    <s v="Oct 2025"/>
    <x v="1"/>
    <x v="3"/>
    <x v="6"/>
    <x v="1"/>
    <x v="1"/>
    <x v="0"/>
    <x v="0"/>
    <x v="3"/>
    <n v="4"/>
    <n v="20.11"/>
    <x v="2"/>
    <n v="10.16"/>
    <n v="76.417999999999992"/>
    <n v="40.64"/>
    <n v="35.777999999999992"/>
    <n v="0.46818812321704306"/>
    <n v="4"/>
    <n v="3"/>
  </r>
  <r>
    <x v="11"/>
    <x v="11"/>
    <s v="2025"/>
    <x v="2"/>
    <s v="Dec 2025"/>
    <x v="1"/>
    <x v="0"/>
    <x v="0"/>
    <x v="3"/>
    <x v="6"/>
    <x v="1"/>
    <x v="1"/>
    <x v="5"/>
    <n v="23"/>
    <n v="12.08"/>
    <x v="3"/>
    <n v="6.54"/>
    <n v="250.05599999999998"/>
    <n v="150.41999999999999"/>
    <n v="99.635999999999996"/>
    <n v="0.39845474613686538"/>
    <n v="8"/>
    <n v="4"/>
  </r>
  <r>
    <x v="12"/>
    <x v="12"/>
    <s v="2025"/>
    <x v="6"/>
    <s v="Aug 2025"/>
    <x v="1"/>
    <x v="1"/>
    <x v="1"/>
    <x v="3"/>
    <x v="9"/>
    <x v="0"/>
    <x v="0"/>
    <x v="1"/>
    <n v="22"/>
    <n v="11.17"/>
    <x v="2"/>
    <n v="4.21"/>
    <n v="233.453"/>
    <n v="92.62"/>
    <n v="140.833"/>
    <n v="0.60326061348536963"/>
    <n v="6"/>
    <n v="5"/>
  </r>
  <r>
    <x v="13"/>
    <x v="13"/>
    <s v="2025"/>
    <x v="7"/>
    <s v="Feb 2025"/>
    <x v="1"/>
    <x v="3"/>
    <x v="7"/>
    <x v="3"/>
    <x v="9"/>
    <x v="0"/>
    <x v="2"/>
    <x v="3"/>
    <n v="4"/>
    <n v="9.9700000000000006"/>
    <x v="2"/>
    <n v="4.76"/>
    <n v="37.886000000000003"/>
    <n v="19.04"/>
    <n v="18.846000000000004"/>
    <n v="0.4974396874835032"/>
    <n v="1"/>
    <n v="5"/>
  </r>
  <r>
    <x v="14"/>
    <x v="10"/>
    <s v="2025"/>
    <x v="5"/>
    <s v="Oct 2025"/>
    <x v="1"/>
    <x v="0"/>
    <x v="0"/>
    <x v="2"/>
    <x v="5"/>
    <x v="0"/>
    <x v="1"/>
    <x v="2"/>
    <n v="3"/>
    <n v="60.85"/>
    <x v="2"/>
    <n v="34.97"/>
    <n v="173.42250000000001"/>
    <n v="104.91"/>
    <n v="68.512500000000017"/>
    <n v="0.39506119448168497"/>
    <n v="8"/>
    <n v="4"/>
  </r>
  <r>
    <x v="15"/>
    <x v="14"/>
    <s v="2025"/>
    <x v="2"/>
    <s v="Dec 2025"/>
    <x v="0"/>
    <x v="1"/>
    <x v="1"/>
    <x v="3"/>
    <x v="10"/>
    <x v="1"/>
    <x v="0"/>
    <x v="1"/>
    <n v="12"/>
    <n v="16.43"/>
    <x v="2"/>
    <n v="10.130000000000001"/>
    <n v="187.30199999999999"/>
    <n v="121.56"/>
    <n v="65.74199999999999"/>
    <n v="0.35099465035077038"/>
    <n v="9"/>
    <n v="4"/>
  </r>
  <r>
    <x v="16"/>
    <x v="15"/>
    <s v="2025"/>
    <x v="8"/>
    <s v="Sep 2025"/>
    <x v="1"/>
    <x v="0"/>
    <x v="0"/>
    <x v="3"/>
    <x v="6"/>
    <x v="2"/>
    <x v="0"/>
    <x v="0"/>
    <n v="9"/>
    <n v="12.33"/>
    <x v="0"/>
    <n v="6.02"/>
    <n v="110.97"/>
    <n v="54.179999999999993"/>
    <n v="56.790000000000006"/>
    <n v="0.51175993511759943"/>
    <n v="9"/>
    <n v="4"/>
  </r>
  <r>
    <x v="17"/>
    <x v="16"/>
    <s v="2025"/>
    <x v="3"/>
    <s v="May 2025"/>
    <x v="1"/>
    <x v="3"/>
    <x v="6"/>
    <x v="0"/>
    <x v="0"/>
    <x v="0"/>
    <x v="3"/>
    <x v="2"/>
    <n v="6"/>
    <n v="287.14"/>
    <x v="0"/>
    <n v="181.85"/>
    <n v="1722.84"/>
    <n v="1091.0999999999999"/>
    <n v="631.74"/>
    <n v="0.36668524064916069"/>
    <n v="2"/>
    <n v="3"/>
  </r>
  <r>
    <x v="18"/>
    <x v="17"/>
    <s v="2025"/>
    <x v="4"/>
    <s v="Apr 2025"/>
    <x v="1"/>
    <x v="2"/>
    <x v="4"/>
    <x v="2"/>
    <x v="11"/>
    <x v="1"/>
    <x v="1"/>
    <x v="2"/>
    <n v="19"/>
    <n v="50.63"/>
    <x v="1"/>
    <n v="28.5"/>
    <n v="769.57600000000002"/>
    <n v="541.5"/>
    <n v="228.07600000000002"/>
    <n v="0.29636579103298444"/>
    <n v="9"/>
    <n v="3"/>
  </r>
  <r>
    <x v="19"/>
    <x v="18"/>
    <s v="2025"/>
    <x v="5"/>
    <s v="Oct 2025"/>
    <x v="2"/>
    <x v="2"/>
    <x v="8"/>
    <x v="3"/>
    <x v="10"/>
    <x v="0"/>
    <x v="1"/>
    <x v="5"/>
    <n v="11"/>
    <n v="18.600000000000001"/>
    <x v="0"/>
    <n v="10.35"/>
    <n v="204.60000000000002"/>
    <n v="113.85"/>
    <n v="90.750000000000028"/>
    <n v="0.4435483870967743"/>
    <n v="5"/>
    <n v="4"/>
  </r>
  <r>
    <x v="20"/>
    <x v="19"/>
    <s v="2025"/>
    <x v="3"/>
    <s v="May 2025"/>
    <x v="1"/>
    <x v="0"/>
    <x v="0"/>
    <x v="0"/>
    <x v="3"/>
    <x v="0"/>
    <x v="1"/>
    <x v="1"/>
    <n v="5"/>
    <n v="130.97999999999999"/>
    <x v="3"/>
    <n v="89.16"/>
    <n v="589.41"/>
    <n v="445.79999999999995"/>
    <n v="143.61000000000001"/>
    <n v="0.24365043009110809"/>
    <n v="9"/>
    <n v="3"/>
  </r>
  <r>
    <x v="21"/>
    <x v="20"/>
    <s v="2025"/>
    <x v="7"/>
    <s v="Feb 2025"/>
    <x v="1"/>
    <x v="3"/>
    <x v="6"/>
    <x v="3"/>
    <x v="4"/>
    <x v="2"/>
    <x v="1"/>
    <x v="4"/>
    <n v="11"/>
    <n v="24.51"/>
    <x v="1"/>
    <n v="14.97"/>
    <n v="215.68800000000002"/>
    <n v="164.67000000000002"/>
    <n v="51.018000000000001"/>
    <n v="0.23653610771113828"/>
    <n v="1"/>
    <n v="5"/>
  </r>
  <r>
    <x v="22"/>
    <x v="21"/>
    <s v="2025"/>
    <x v="4"/>
    <s v="Apr 2025"/>
    <x v="0"/>
    <x v="3"/>
    <x v="6"/>
    <x v="3"/>
    <x v="9"/>
    <x v="1"/>
    <x v="1"/>
    <x v="3"/>
    <n v="7"/>
    <n v="10.94"/>
    <x v="3"/>
    <n v="4.16"/>
    <n v="68.921999999999997"/>
    <n v="29.12"/>
    <n v="39.801999999999992"/>
    <n v="0.57749339833434887"/>
    <n v="6"/>
    <n v="5"/>
  </r>
  <r>
    <x v="23"/>
    <x v="22"/>
    <s v="2025"/>
    <x v="1"/>
    <s v="Jul 2025"/>
    <x v="1"/>
    <x v="3"/>
    <x v="9"/>
    <x v="3"/>
    <x v="6"/>
    <x v="0"/>
    <x v="2"/>
    <x v="3"/>
    <n v="8"/>
    <n v="12.96"/>
    <x v="0"/>
    <n v="6.46"/>
    <n v="103.68"/>
    <n v="51.68"/>
    <n v="52.000000000000007"/>
    <n v="0.50154320987654322"/>
    <n v="4"/>
    <n v="4"/>
  </r>
  <r>
    <x v="24"/>
    <x v="23"/>
    <s v="2025"/>
    <x v="2"/>
    <s v="Dec 2025"/>
    <x v="1"/>
    <x v="3"/>
    <x v="9"/>
    <x v="1"/>
    <x v="12"/>
    <x v="1"/>
    <x v="2"/>
    <x v="1"/>
    <n v="9"/>
    <n v="34.049999999999997"/>
    <x v="4"/>
    <n v="18.489999999999998"/>
    <n v="260.48249999999996"/>
    <n v="166.41"/>
    <n v="94.072499999999962"/>
    <n v="0.36114710201261113"/>
    <n v="5"/>
    <n v="4"/>
  </r>
  <r>
    <x v="25"/>
    <x v="24"/>
    <s v="2025"/>
    <x v="3"/>
    <s v="May 2025"/>
    <x v="1"/>
    <x v="0"/>
    <x v="0"/>
    <x v="0"/>
    <x v="3"/>
    <x v="2"/>
    <x v="0"/>
    <x v="2"/>
    <n v="4"/>
    <n v="133.85"/>
    <x v="0"/>
    <n v="93.01"/>
    <n v="535.4"/>
    <n v="372.04"/>
    <n v="163.35999999999996"/>
    <n v="0.30511766903249898"/>
    <n v="9"/>
    <n v="5"/>
  </r>
  <r>
    <x v="26"/>
    <x v="25"/>
    <s v="2025"/>
    <x v="2"/>
    <s v="Dec 2025"/>
    <x v="0"/>
    <x v="3"/>
    <x v="9"/>
    <x v="1"/>
    <x v="1"/>
    <x v="2"/>
    <x v="0"/>
    <x v="1"/>
    <n v="5"/>
    <n v="22.25"/>
    <x v="0"/>
    <n v="11.29"/>
    <n v="111.25"/>
    <n v="56.449999999999996"/>
    <n v="54.800000000000004"/>
    <n v="0.4925842696629214"/>
    <n v="5"/>
    <n v="4"/>
  </r>
  <r>
    <x v="27"/>
    <x v="26"/>
    <s v="2025"/>
    <x v="4"/>
    <s v="Apr 2025"/>
    <x v="1"/>
    <x v="1"/>
    <x v="5"/>
    <x v="2"/>
    <x v="5"/>
    <x v="2"/>
    <x v="0"/>
    <x v="5"/>
    <n v="11"/>
    <n v="61.51"/>
    <x v="2"/>
    <n v="39.74"/>
    <n v="642.77949999999998"/>
    <n v="437.14000000000004"/>
    <n v="205.63949999999994"/>
    <n v="0.31992230617186757"/>
    <n v="6"/>
    <n v="4"/>
  </r>
  <r>
    <x v="28"/>
    <x v="27"/>
    <s v="2025"/>
    <x v="6"/>
    <s v="Aug 2025"/>
    <x v="1"/>
    <x v="3"/>
    <x v="6"/>
    <x v="1"/>
    <x v="7"/>
    <x v="2"/>
    <x v="3"/>
    <x v="4"/>
    <n v="4"/>
    <n v="47.16"/>
    <x v="0"/>
    <n v="25.81"/>
    <n v="188.64"/>
    <n v="103.24"/>
    <n v="85.399999999999991"/>
    <n v="0.45271416454622559"/>
    <n v="1"/>
    <n v="3"/>
  </r>
  <r>
    <x v="29"/>
    <x v="28"/>
    <s v="2025"/>
    <x v="8"/>
    <s v="Sep 2025"/>
    <x v="1"/>
    <x v="0"/>
    <x v="2"/>
    <x v="1"/>
    <x v="7"/>
    <x v="2"/>
    <x v="2"/>
    <x v="3"/>
    <n v="3"/>
    <n v="46.99"/>
    <x v="3"/>
    <n v="24.86"/>
    <n v="126.873"/>
    <n v="74.58"/>
    <n v="52.293000000000006"/>
    <n v="0.41216807358539648"/>
    <n v="2"/>
    <n v="5"/>
  </r>
  <r>
    <x v="30"/>
    <x v="29"/>
    <s v="2025"/>
    <x v="4"/>
    <s v="Apr 2025"/>
    <x v="2"/>
    <x v="3"/>
    <x v="6"/>
    <x v="1"/>
    <x v="12"/>
    <x v="2"/>
    <x v="0"/>
    <x v="2"/>
    <n v="3"/>
    <n v="37.67"/>
    <x v="1"/>
    <n v="20.54"/>
    <n v="90.408000000000015"/>
    <n v="61.62"/>
    <n v="28.788000000000018"/>
    <n v="0.31842314839394759"/>
    <n v="6"/>
    <n v="5"/>
  </r>
  <r>
    <x v="31"/>
    <x v="27"/>
    <s v="2025"/>
    <x v="6"/>
    <s v="Aug 2025"/>
    <x v="1"/>
    <x v="1"/>
    <x v="5"/>
    <x v="1"/>
    <x v="7"/>
    <x v="2"/>
    <x v="3"/>
    <x v="3"/>
    <n v="11"/>
    <n v="43.25"/>
    <x v="2"/>
    <n v="28.2"/>
    <n v="451.96249999999998"/>
    <n v="310.2"/>
    <n v="141.76249999999999"/>
    <n v="0.31365987222391239"/>
    <n v="4"/>
    <n v="4"/>
  </r>
  <r>
    <x v="32"/>
    <x v="30"/>
    <s v="2025"/>
    <x v="7"/>
    <s v="Feb 2025"/>
    <x v="1"/>
    <x v="2"/>
    <x v="4"/>
    <x v="3"/>
    <x v="4"/>
    <x v="1"/>
    <x v="1"/>
    <x v="3"/>
    <n v="14"/>
    <n v="26.32"/>
    <x v="0"/>
    <n v="14.46"/>
    <n v="368.48"/>
    <n v="202.44"/>
    <n v="166.04000000000002"/>
    <n v="0.45060790273556234"/>
    <n v="7"/>
    <n v="4"/>
  </r>
  <r>
    <x v="33"/>
    <x v="31"/>
    <s v="2025"/>
    <x v="6"/>
    <s v="Aug 2025"/>
    <x v="0"/>
    <x v="1"/>
    <x v="1"/>
    <x v="3"/>
    <x v="9"/>
    <x v="0"/>
    <x v="0"/>
    <x v="0"/>
    <n v="14"/>
    <n v="10.050000000000001"/>
    <x v="0"/>
    <n v="4.82"/>
    <n v="140.70000000000002"/>
    <n v="67.48"/>
    <n v="73.220000000000013"/>
    <n v="0.52039800995024876"/>
    <n v="7"/>
    <n v="5"/>
  </r>
  <r>
    <x v="34"/>
    <x v="32"/>
    <s v="2025"/>
    <x v="6"/>
    <s v="Aug 2025"/>
    <x v="1"/>
    <x v="3"/>
    <x v="9"/>
    <x v="3"/>
    <x v="9"/>
    <x v="2"/>
    <x v="2"/>
    <x v="1"/>
    <n v="7"/>
    <n v="10.85"/>
    <x v="1"/>
    <n v="4.8"/>
    <n v="60.760000000000005"/>
    <n v="33.6"/>
    <n v="27.160000000000004"/>
    <n v="0.44700460829493088"/>
    <n v="9"/>
    <n v="3"/>
  </r>
  <r>
    <x v="35"/>
    <x v="33"/>
    <s v="2025"/>
    <x v="1"/>
    <s v="Jul 2025"/>
    <x v="1"/>
    <x v="0"/>
    <x v="0"/>
    <x v="0"/>
    <x v="0"/>
    <x v="1"/>
    <x v="3"/>
    <x v="2"/>
    <n v="6"/>
    <n v="246.11"/>
    <x v="3"/>
    <n v="165.29"/>
    <n v="1328.9940000000001"/>
    <n v="991.74"/>
    <n v="337.25400000000013"/>
    <n v="0.2537663826924727"/>
    <n v="7"/>
    <n v="4"/>
  </r>
  <r>
    <x v="36"/>
    <x v="34"/>
    <s v="2025"/>
    <x v="6"/>
    <s v="Aug 2025"/>
    <x v="1"/>
    <x v="2"/>
    <x v="4"/>
    <x v="1"/>
    <x v="12"/>
    <x v="1"/>
    <x v="0"/>
    <x v="1"/>
    <n v="1"/>
    <n v="37.31"/>
    <x v="0"/>
    <n v="21.44"/>
    <n v="37.31"/>
    <n v="21.44"/>
    <n v="15.870000000000001"/>
    <n v="0.42535513267220587"/>
    <n v="1"/>
    <n v="5"/>
  </r>
  <r>
    <x v="37"/>
    <x v="35"/>
    <s v="2025"/>
    <x v="3"/>
    <s v="May 2025"/>
    <x v="1"/>
    <x v="3"/>
    <x v="9"/>
    <x v="0"/>
    <x v="0"/>
    <x v="2"/>
    <x v="3"/>
    <x v="3"/>
    <n v="2"/>
    <n v="278.49"/>
    <x v="0"/>
    <n v="160.85"/>
    <n v="556.98"/>
    <n v="321.7"/>
    <n v="235.28000000000003"/>
    <n v="0.42242091277963306"/>
    <n v="1"/>
    <n v="5"/>
  </r>
  <r>
    <x v="38"/>
    <x v="36"/>
    <s v="2025"/>
    <x v="5"/>
    <s v="Oct 2025"/>
    <x v="0"/>
    <x v="1"/>
    <x v="10"/>
    <x v="2"/>
    <x v="5"/>
    <x v="0"/>
    <x v="1"/>
    <x v="4"/>
    <n v="24"/>
    <n v="69.55"/>
    <x v="2"/>
    <n v="40.130000000000003"/>
    <n v="1585.7399999999998"/>
    <n v="963.12000000000012"/>
    <n v="622.61999999999966"/>
    <n v="0.39263687615876486"/>
    <n v="2"/>
    <n v="5"/>
  </r>
  <r>
    <x v="39"/>
    <x v="37"/>
    <s v="2025"/>
    <x v="5"/>
    <s v="Oct 2025"/>
    <x v="0"/>
    <x v="0"/>
    <x v="2"/>
    <x v="1"/>
    <x v="1"/>
    <x v="0"/>
    <x v="0"/>
    <x v="2"/>
    <n v="8"/>
    <n v="20.309999999999999"/>
    <x v="2"/>
    <n v="11.81"/>
    <n v="154.35599999999999"/>
    <n v="94.48"/>
    <n v="59.875999999999991"/>
    <n v="0.38790847132602552"/>
    <n v="8"/>
    <n v="5"/>
  </r>
  <r>
    <x v="40"/>
    <x v="38"/>
    <s v="2025"/>
    <x v="6"/>
    <s v="Aug 2025"/>
    <x v="2"/>
    <x v="3"/>
    <x v="6"/>
    <x v="1"/>
    <x v="1"/>
    <x v="2"/>
    <x v="2"/>
    <x v="2"/>
    <n v="7"/>
    <n v="23.8"/>
    <x v="0"/>
    <n v="11.16"/>
    <n v="166.6"/>
    <n v="78.12"/>
    <n v="88.47999999999999"/>
    <n v="0.53109243697478992"/>
    <n v="4"/>
    <n v="5"/>
  </r>
  <r>
    <x v="41"/>
    <x v="39"/>
    <s v="2025"/>
    <x v="7"/>
    <s v="Feb 2025"/>
    <x v="0"/>
    <x v="2"/>
    <x v="11"/>
    <x v="3"/>
    <x v="9"/>
    <x v="2"/>
    <x v="3"/>
    <x v="4"/>
    <n v="17"/>
    <n v="10.87"/>
    <x v="0"/>
    <n v="4.2699999999999996"/>
    <n v="184.79"/>
    <n v="72.589999999999989"/>
    <n v="112.2"/>
    <n v="0.60717571297148121"/>
    <n v="5"/>
    <n v="4"/>
  </r>
  <r>
    <x v="42"/>
    <x v="7"/>
    <s v="2025"/>
    <x v="0"/>
    <s v="Nov 2025"/>
    <x v="0"/>
    <x v="2"/>
    <x v="8"/>
    <x v="3"/>
    <x v="10"/>
    <x v="0"/>
    <x v="2"/>
    <x v="0"/>
    <n v="9"/>
    <n v="18.93"/>
    <x v="2"/>
    <n v="10.23"/>
    <n v="161.85149999999999"/>
    <n v="92.070000000000007"/>
    <n v="69.78149999999998"/>
    <n v="0.43114521644841097"/>
    <n v="1"/>
    <n v="3"/>
  </r>
  <r>
    <x v="43"/>
    <x v="40"/>
    <s v="2025"/>
    <x v="4"/>
    <s v="Apr 2025"/>
    <x v="1"/>
    <x v="1"/>
    <x v="5"/>
    <x v="3"/>
    <x v="4"/>
    <x v="2"/>
    <x v="2"/>
    <x v="1"/>
    <n v="19"/>
    <n v="24.32"/>
    <x v="0"/>
    <n v="14.45"/>
    <n v="462.08"/>
    <n v="274.55"/>
    <n v="187.52999999999997"/>
    <n v="0.40583881578947362"/>
    <n v="5"/>
    <n v="4"/>
  </r>
  <r>
    <x v="44"/>
    <x v="26"/>
    <s v="2025"/>
    <x v="4"/>
    <s v="Apr 2025"/>
    <x v="0"/>
    <x v="2"/>
    <x v="4"/>
    <x v="0"/>
    <x v="0"/>
    <x v="0"/>
    <x v="3"/>
    <x v="1"/>
    <n v="5"/>
    <n v="290.08999999999997"/>
    <x v="0"/>
    <n v="179.05"/>
    <n v="1450.4499999999998"/>
    <n v="895.25"/>
    <n v="555.19999999999982"/>
    <n v="0.38277775862663305"/>
    <n v="6"/>
    <n v="4"/>
  </r>
  <r>
    <x v="45"/>
    <x v="41"/>
    <s v="2025"/>
    <x v="9"/>
    <s v="Jan 2025"/>
    <x v="0"/>
    <x v="3"/>
    <x v="9"/>
    <x v="3"/>
    <x v="6"/>
    <x v="2"/>
    <x v="1"/>
    <x v="1"/>
    <n v="17"/>
    <n v="11.07"/>
    <x v="0"/>
    <n v="5.99"/>
    <n v="188.19"/>
    <n v="101.83"/>
    <n v="86.36"/>
    <n v="0.45889792231255644"/>
    <n v="8"/>
    <n v="4"/>
  </r>
  <r>
    <x v="46"/>
    <x v="42"/>
    <s v="2025"/>
    <x v="4"/>
    <s v="Apr 2025"/>
    <x v="1"/>
    <x v="0"/>
    <x v="2"/>
    <x v="2"/>
    <x v="13"/>
    <x v="0"/>
    <x v="2"/>
    <x v="4"/>
    <n v="20"/>
    <n v="41.54"/>
    <x v="0"/>
    <n v="22.29"/>
    <n v="830.8"/>
    <n v="445.79999999999995"/>
    <n v="385"/>
    <n v="0.46340876263842085"/>
    <n v="5"/>
    <n v="3"/>
  </r>
  <r>
    <x v="47"/>
    <x v="43"/>
    <s v="2025"/>
    <x v="3"/>
    <s v="May 2025"/>
    <x v="1"/>
    <x v="0"/>
    <x v="3"/>
    <x v="0"/>
    <x v="0"/>
    <x v="2"/>
    <x v="2"/>
    <x v="5"/>
    <n v="7"/>
    <n v="251.47"/>
    <x v="2"/>
    <n v="173.29"/>
    <n v="1672.2755"/>
    <n v="1213.03"/>
    <n v="459.24549999999999"/>
    <n v="0.27462311084507307"/>
    <n v="2"/>
    <n v="5"/>
  </r>
  <r>
    <x v="48"/>
    <x v="44"/>
    <s v="2025"/>
    <x v="4"/>
    <s v="Apr 2025"/>
    <x v="0"/>
    <x v="3"/>
    <x v="9"/>
    <x v="0"/>
    <x v="0"/>
    <x v="0"/>
    <x v="1"/>
    <x v="4"/>
    <n v="7"/>
    <n v="259.77"/>
    <x v="0"/>
    <n v="172.55"/>
    <n v="1818.3899999999999"/>
    <n v="1207.8500000000001"/>
    <n v="610.53999999999974"/>
    <n v="0.33575855564537849"/>
    <n v="4"/>
    <n v="4"/>
  </r>
  <r>
    <x v="49"/>
    <x v="45"/>
    <s v="2025"/>
    <x v="3"/>
    <s v="May 2025"/>
    <x v="0"/>
    <x v="1"/>
    <x v="1"/>
    <x v="0"/>
    <x v="3"/>
    <x v="2"/>
    <x v="1"/>
    <x v="2"/>
    <n v="2"/>
    <n v="142.77000000000001"/>
    <x v="4"/>
    <n v="92.13"/>
    <n v="242.709"/>
    <n v="184.26"/>
    <n v="58.449000000000012"/>
    <n v="0.24081925268531457"/>
    <n v="3"/>
    <n v="3"/>
  </r>
  <r>
    <x v="50"/>
    <x v="46"/>
    <s v="2025"/>
    <x v="10"/>
    <s v="Mar 2025"/>
    <x v="1"/>
    <x v="2"/>
    <x v="8"/>
    <x v="0"/>
    <x v="3"/>
    <x v="0"/>
    <x v="3"/>
    <x v="1"/>
    <n v="7"/>
    <n v="155.03"/>
    <x v="2"/>
    <n v="90.01"/>
    <n v="1030.9494999999999"/>
    <n v="630.07000000000005"/>
    <n v="400.87949999999989"/>
    <n v="0.38884494342351389"/>
    <n v="2"/>
    <n v="5"/>
  </r>
  <r>
    <x v="51"/>
    <x v="47"/>
    <s v="2025"/>
    <x v="6"/>
    <s v="Aug 2025"/>
    <x v="0"/>
    <x v="2"/>
    <x v="8"/>
    <x v="3"/>
    <x v="6"/>
    <x v="0"/>
    <x v="0"/>
    <x v="1"/>
    <n v="10"/>
    <n v="12.32"/>
    <x v="0"/>
    <n v="6.77"/>
    <n v="123.2"/>
    <n v="67.699999999999989"/>
    <n v="55.500000000000014"/>
    <n v="0.4504870129870131"/>
    <n v="9"/>
    <n v="5"/>
  </r>
  <r>
    <x v="52"/>
    <x v="48"/>
    <s v="2025"/>
    <x v="3"/>
    <s v="May 2025"/>
    <x v="1"/>
    <x v="3"/>
    <x v="6"/>
    <x v="1"/>
    <x v="14"/>
    <x v="1"/>
    <x v="2"/>
    <x v="5"/>
    <n v="6"/>
    <n v="57.61"/>
    <x v="0"/>
    <n v="33.83"/>
    <n v="345.65999999999997"/>
    <n v="202.98"/>
    <n v="142.67999999999998"/>
    <n v="0.41277555979864605"/>
    <n v="8"/>
    <n v="4"/>
  </r>
  <r>
    <x v="53"/>
    <x v="5"/>
    <s v="2025"/>
    <x v="1"/>
    <s v="Jul 2025"/>
    <x v="2"/>
    <x v="0"/>
    <x v="2"/>
    <x v="3"/>
    <x v="4"/>
    <x v="0"/>
    <x v="2"/>
    <x v="0"/>
    <n v="2"/>
    <n v="26.12"/>
    <x v="2"/>
    <n v="14.1"/>
    <n v="49.628"/>
    <n v="28.2"/>
    <n v="21.428000000000001"/>
    <n v="0.4317723865559765"/>
    <n v="4"/>
    <n v="4"/>
  </r>
  <r>
    <x v="54"/>
    <x v="49"/>
    <s v="2025"/>
    <x v="0"/>
    <s v="Nov 2025"/>
    <x v="1"/>
    <x v="1"/>
    <x v="5"/>
    <x v="1"/>
    <x v="12"/>
    <x v="0"/>
    <x v="3"/>
    <x v="2"/>
    <n v="12"/>
    <n v="35.229999999999997"/>
    <x v="2"/>
    <n v="18.489999999999998"/>
    <n v="401.62199999999996"/>
    <n v="221.88"/>
    <n v="179.74199999999996"/>
    <n v="0.44754022439009811"/>
    <n v="4"/>
    <n v="5"/>
  </r>
  <r>
    <x v="55"/>
    <x v="50"/>
    <s v="2025"/>
    <x v="11"/>
    <s v="Jun 2025"/>
    <x v="2"/>
    <x v="0"/>
    <x v="3"/>
    <x v="1"/>
    <x v="7"/>
    <x v="1"/>
    <x v="2"/>
    <x v="4"/>
    <n v="11"/>
    <n v="48.74"/>
    <x v="3"/>
    <n v="26.99"/>
    <n v="482.52600000000001"/>
    <n v="296.89"/>
    <n v="185.63600000000002"/>
    <n v="0.38471709296493872"/>
    <n v="9"/>
    <n v="5"/>
  </r>
  <r>
    <x v="56"/>
    <x v="51"/>
    <s v="2025"/>
    <x v="6"/>
    <s v="Aug 2025"/>
    <x v="2"/>
    <x v="1"/>
    <x v="10"/>
    <x v="3"/>
    <x v="10"/>
    <x v="0"/>
    <x v="1"/>
    <x v="4"/>
    <n v="10"/>
    <n v="19.260000000000002"/>
    <x v="0"/>
    <n v="10.57"/>
    <n v="192.60000000000002"/>
    <n v="105.7"/>
    <n v="86.90000000000002"/>
    <n v="0.45119418483904472"/>
    <n v="9"/>
    <n v="4"/>
  </r>
  <r>
    <x v="57"/>
    <x v="52"/>
    <s v="2025"/>
    <x v="9"/>
    <s v="Jan 2025"/>
    <x v="1"/>
    <x v="2"/>
    <x v="8"/>
    <x v="1"/>
    <x v="14"/>
    <x v="1"/>
    <x v="2"/>
    <x v="5"/>
    <n v="6"/>
    <n v="56.18"/>
    <x v="2"/>
    <n v="32.22"/>
    <n v="320.22599999999994"/>
    <n v="193.32"/>
    <n v="126.90599999999995"/>
    <n v="0.39630136216297229"/>
    <n v="6"/>
    <n v="5"/>
  </r>
  <r>
    <x v="58"/>
    <x v="53"/>
    <s v="2025"/>
    <x v="2"/>
    <s v="Dec 2025"/>
    <x v="0"/>
    <x v="3"/>
    <x v="6"/>
    <x v="1"/>
    <x v="14"/>
    <x v="0"/>
    <x v="2"/>
    <x v="2"/>
    <n v="11"/>
    <n v="59.09"/>
    <x v="0"/>
    <n v="32.78"/>
    <n v="649.99"/>
    <n v="360.58000000000004"/>
    <n v="289.40999999999997"/>
    <n v="0.44525300389236749"/>
    <n v="1"/>
    <n v="4"/>
  </r>
  <r>
    <x v="59"/>
    <x v="54"/>
    <s v="2025"/>
    <x v="5"/>
    <s v="Oct 2025"/>
    <x v="2"/>
    <x v="2"/>
    <x v="4"/>
    <x v="2"/>
    <x v="13"/>
    <x v="0"/>
    <x v="0"/>
    <x v="1"/>
    <n v="6"/>
    <n v="39.61"/>
    <x v="0"/>
    <n v="24.59"/>
    <n v="237.66"/>
    <n v="147.54"/>
    <n v="90.12"/>
    <n v="0.37919717243120427"/>
    <n v="8"/>
    <n v="5"/>
  </r>
  <r>
    <x v="60"/>
    <x v="24"/>
    <s v="2025"/>
    <x v="3"/>
    <s v="May 2025"/>
    <x v="2"/>
    <x v="2"/>
    <x v="8"/>
    <x v="0"/>
    <x v="8"/>
    <x v="1"/>
    <x v="2"/>
    <x v="5"/>
    <n v="8"/>
    <n v="131.03"/>
    <x v="0"/>
    <n v="69.430000000000007"/>
    <n v="1048.24"/>
    <n v="555.44000000000005"/>
    <n v="492.79999999999995"/>
    <n v="0.47012134625658242"/>
    <n v="5"/>
    <n v="5"/>
  </r>
  <r>
    <x v="61"/>
    <x v="55"/>
    <s v="2025"/>
    <x v="7"/>
    <s v="Feb 2025"/>
    <x v="0"/>
    <x v="1"/>
    <x v="1"/>
    <x v="0"/>
    <x v="8"/>
    <x v="0"/>
    <x v="0"/>
    <x v="4"/>
    <n v="6"/>
    <n v="129.02000000000001"/>
    <x v="2"/>
    <n v="72.52"/>
    <n v="735.4140000000001"/>
    <n v="435.12"/>
    <n v="300.2940000000001"/>
    <n v="0.40833326534441833"/>
    <n v="3"/>
    <n v="4"/>
  </r>
  <r>
    <x v="62"/>
    <x v="22"/>
    <s v="2025"/>
    <x v="1"/>
    <s v="Jul 2025"/>
    <x v="1"/>
    <x v="3"/>
    <x v="7"/>
    <x v="3"/>
    <x v="9"/>
    <x v="2"/>
    <x v="1"/>
    <x v="3"/>
    <n v="16"/>
    <n v="10.4"/>
    <x v="3"/>
    <n v="4.47"/>
    <n v="149.76000000000002"/>
    <n v="71.52"/>
    <n v="78.240000000000023"/>
    <n v="0.52243589743589758"/>
    <n v="8"/>
    <n v="5"/>
  </r>
  <r>
    <x v="63"/>
    <x v="56"/>
    <s v="2025"/>
    <x v="2"/>
    <s v="Dec 2025"/>
    <x v="1"/>
    <x v="3"/>
    <x v="7"/>
    <x v="1"/>
    <x v="1"/>
    <x v="1"/>
    <x v="2"/>
    <x v="1"/>
    <n v="5"/>
    <n v="22.01"/>
    <x v="1"/>
    <n v="10.65"/>
    <n v="88.04000000000002"/>
    <n v="53.25"/>
    <n v="34.79000000000002"/>
    <n v="0.39516129032258079"/>
    <n v="8"/>
    <n v="3"/>
  </r>
  <r>
    <x v="64"/>
    <x v="57"/>
    <s v="2025"/>
    <x v="1"/>
    <s v="Jul 2025"/>
    <x v="0"/>
    <x v="2"/>
    <x v="8"/>
    <x v="1"/>
    <x v="1"/>
    <x v="0"/>
    <x v="2"/>
    <x v="5"/>
    <n v="1"/>
    <n v="22.54"/>
    <x v="3"/>
    <n v="11.33"/>
    <n v="20.286000000000001"/>
    <n v="11.33"/>
    <n v="8.9560000000000013"/>
    <n v="0.44148673962338564"/>
    <n v="1"/>
    <n v="5"/>
  </r>
  <r>
    <x v="65"/>
    <x v="58"/>
    <s v="2025"/>
    <x v="8"/>
    <s v="Sep 2025"/>
    <x v="1"/>
    <x v="2"/>
    <x v="4"/>
    <x v="0"/>
    <x v="3"/>
    <x v="0"/>
    <x v="3"/>
    <x v="1"/>
    <n v="3"/>
    <n v="145.35"/>
    <x v="2"/>
    <n v="95.81"/>
    <n v="414.24749999999995"/>
    <n v="287.43"/>
    <n v="126.81749999999994"/>
    <n v="0.30613944562127704"/>
    <n v="5"/>
    <n v="5"/>
  </r>
  <r>
    <x v="66"/>
    <x v="59"/>
    <s v="2025"/>
    <x v="9"/>
    <s v="Jan 2025"/>
    <x v="1"/>
    <x v="2"/>
    <x v="8"/>
    <x v="3"/>
    <x v="4"/>
    <x v="0"/>
    <x v="1"/>
    <x v="3"/>
    <n v="19"/>
    <n v="27.32"/>
    <x v="2"/>
    <n v="13.7"/>
    <n v="493.12600000000003"/>
    <n v="260.3"/>
    <n v="232.82600000000002"/>
    <n v="0.4721430222701703"/>
    <n v="5"/>
    <n v="5"/>
  </r>
  <r>
    <x v="67"/>
    <x v="60"/>
    <s v="2025"/>
    <x v="3"/>
    <s v="May 2025"/>
    <x v="1"/>
    <x v="1"/>
    <x v="10"/>
    <x v="0"/>
    <x v="3"/>
    <x v="1"/>
    <x v="0"/>
    <x v="3"/>
    <n v="4"/>
    <n v="152.49"/>
    <x v="1"/>
    <n v="93.23"/>
    <n v="487.96800000000007"/>
    <n v="372.92"/>
    <n v="115.04800000000006"/>
    <n v="0.23576955865958432"/>
    <n v="9"/>
    <n v="4"/>
  </r>
  <r>
    <x v="68"/>
    <x v="61"/>
    <s v="2025"/>
    <x v="1"/>
    <s v="Jul 2025"/>
    <x v="0"/>
    <x v="0"/>
    <x v="2"/>
    <x v="1"/>
    <x v="14"/>
    <x v="0"/>
    <x v="3"/>
    <x v="0"/>
    <n v="7"/>
    <n v="59.45"/>
    <x v="0"/>
    <n v="34.25"/>
    <n v="416.15000000000003"/>
    <n v="239.75"/>
    <n v="176.40000000000003"/>
    <n v="0.42388561816652653"/>
    <n v="4"/>
    <n v="4"/>
  </r>
  <r>
    <x v="69"/>
    <x v="62"/>
    <s v="2025"/>
    <x v="0"/>
    <s v="Nov 2025"/>
    <x v="1"/>
    <x v="2"/>
    <x v="8"/>
    <x v="3"/>
    <x v="6"/>
    <x v="2"/>
    <x v="3"/>
    <x v="1"/>
    <n v="15"/>
    <n v="11.11"/>
    <x v="0"/>
    <n v="6.03"/>
    <n v="166.64999999999998"/>
    <n v="90.45"/>
    <n v="76.199999999999974"/>
    <n v="0.45724572457245716"/>
    <n v="8"/>
    <n v="3"/>
  </r>
  <r>
    <x v="70"/>
    <x v="63"/>
    <s v="2025"/>
    <x v="3"/>
    <s v="May 2025"/>
    <x v="0"/>
    <x v="3"/>
    <x v="9"/>
    <x v="1"/>
    <x v="14"/>
    <x v="2"/>
    <x v="2"/>
    <x v="1"/>
    <n v="2"/>
    <n v="59.59"/>
    <x v="4"/>
    <n v="32.590000000000003"/>
    <n v="101.303"/>
    <n v="65.180000000000007"/>
    <n v="36.12299999999999"/>
    <n v="0.35658371420392282"/>
    <n v="5"/>
    <n v="3"/>
  </r>
  <r>
    <x v="71"/>
    <x v="64"/>
    <s v="2025"/>
    <x v="1"/>
    <s v="Jul 2025"/>
    <x v="1"/>
    <x v="3"/>
    <x v="9"/>
    <x v="1"/>
    <x v="7"/>
    <x v="1"/>
    <x v="3"/>
    <x v="0"/>
    <n v="11"/>
    <n v="44.05"/>
    <x v="0"/>
    <n v="26.56"/>
    <n v="484.54999999999995"/>
    <n v="292.15999999999997"/>
    <n v="192.39"/>
    <n v="0.39704880817253124"/>
    <n v="2"/>
    <n v="5"/>
  </r>
  <r>
    <x v="72"/>
    <x v="65"/>
    <s v="2025"/>
    <x v="6"/>
    <s v="Aug 2025"/>
    <x v="1"/>
    <x v="0"/>
    <x v="3"/>
    <x v="3"/>
    <x v="6"/>
    <x v="0"/>
    <x v="1"/>
    <x v="0"/>
    <n v="8"/>
    <n v="10.98"/>
    <x v="0"/>
    <n v="6.78"/>
    <n v="87.84"/>
    <n v="54.24"/>
    <n v="33.6"/>
    <n v="0.38251366120218577"/>
    <n v="4"/>
    <n v="5"/>
  </r>
  <r>
    <x v="73"/>
    <x v="66"/>
    <s v="2025"/>
    <x v="4"/>
    <s v="Apr 2025"/>
    <x v="2"/>
    <x v="2"/>
    <x v="4"/>
    <x v="2"/>
    <x v="11"/>
    <x v="0"/>
    <x v="1"/>
    <x v="0"/>
    <n v="10"/>
    <n v="51.63"/>
    <x v="4"/>
    <n v="26.25"/>
    <n v="438.85500000000002"/>
    <n v="262.5"/>
    <n v="176.35500000000002"/>
    <n v="0.40185254810814508"/>
    <n v="3"/>
    <n v="3"/>
  </r>
  <r>
    <x v="74"/>
    <x v="67"/>
    <s v="2025"/>
    <x v="3"/>
    <s v="May 2025"/>
    <x v="1"/>
    <x v="2"/>
    <x v="4"/>
    <x v="3"/>
    <x v="6"/>
    <x v="0"/>
    <x v="0"/>
    <x v="1"/>
    <n v="4"/>
    <n v="12.06"/>
    <x v="2"/>
    <n v="6.79"/>
    <n v="45.828000000000003"/>
    <n v="27.16"/>
    <n v="18.668000000000003"/>
    <n v="0.40734921881818981"/>
    <n v="2"/>
    <n v="4"/>
  </r>
  <r>
    <x v="75"/>
    <x v="40"/>
    <s v="2025"/>
    <x v="4"/>
    <s v="Apr 2025"/>
    <x v="2"/>
    <x v="0"/>
    <x v="3"/>
    <x v="2"/>
    <x v="2"/>
    <x v="2"/>
    <x v="0"/>
    <x v="2"/>
    <n v="14"/>
    <n v="74.53"/>
    <x v="3"/>
    <n v="42.18"/>
    <n v="939.07800000000009"/>
    <n v="590.52"/>
    <n v="348.55800000000011"/>
    <n v="0.37117044590545201"/>
    <n v="8"/>
    <n v="3"/>
  </r>
  <r>
    <x v="76"/>
    <x v="68"/>
    <s v="2025"/>
    <x v="7"/>
    <s v="Feb 2025"/>
    <x v="0"/>
    <x v="2"/>
    <x v="8"/>
    <x v="3"/>
    <x v="10"/>
    <x v="0"/>
    <x v="3"/>
    <x v="2"/>
    <n v="21"/>
    <n v="18.3"/>
    <x v="2"/>
    <n v="9.93"/>
    <n v="365.08499999999998"/>
    <n v="208.53"/>
    <n v="156.55499999999998"/>
    <n v="0.42881794650560823"/>
    <n v="2"/>
    <n v="5"/>
  </r>
  <r>
    <x v="77"/>
    <x v="69"/>
    <s v="2025"/>
    <x v="7"/>
    <s v="Feb 2025"/>
    <x v="0"/>
    <x v="3"/>
    <x v="9"/>
    <x v="1"/>
    <x v="7"/>
    <x v="0"/>
    <x v="2"/>
    <x v="2"/>
    <n v="12"/>
    <n v="41.44"/>
    <x v="3"/>
    <n v="26.68"/>
    <n v="447.55199999999996"/>
    <n v="320.15999999999997"/>
    <n v="127.392"/>
    <n v="0.28464178464178463"/>
    <n v="6"/>
    <n v="5"/>
  </r>
  <r>
    <x v="78"/>
    <x v="70"/>
    <s v="2025"/>
    <x v="2"/>
    <s v="Dec 2025"/>
    <x v="1"/>
    <x v="1"/>
    <x v="1"/>
    <x v="3"/>
    <x v="6"/>
    <x v="0"/>
    <x v="3"/>
    <x v="3"/>
    <n v="19"/>
    <n v="10.96"/>
    <x v="2"/>
    <n v="6.97"/>
    <n v="197.828"/>
    <n v="132.43"/>
    <n v="65.397999999999996"/>
    <n v="0.33058009988474835"/>
    <n v="2"/>
    <n v="4"/>
  </r>
  <r>
    <x v="79"/>
    <x v="71"/>
    <s v="2025"/>
    <x v="2"/>
    <s v="Dec 2025"/>
    <x v="1"/>
    <x v="1"/>
    <x v="5"/>
    <x v="3"/>
    <x v="4"/>
    <x v="2"/>
    <x v="1"/>
    <x v="3"/>
    <n v="23"/>
    <n v="25.15"/>
    <x v="2"/>
    <n v="14.78"/>
    <n v="549.52749999999992"/>
    <n v="339.94"/>
    <n v="209.58749999999992"/>
    <n v="0.3813958355132363"/>
    <n v="9"/>
    <n v="4"/>
  </r>
  <r>
    <x v="80"/>
    <x v="48"/>
    <s v="2025"/>
    <x v="3"/>
    <s v="May 2025"/>
    <x v="0"/>
    <x v="3"/>
    <x v="9"/>
    <x v="2"/>
    <x v="11"/>
    <x v="2"/>
    <x v="3"/>
    <x v="4"/>
    <n v="7"/>
    <n v="46.09"/>
    <x v="4"/>
    <n v="29.18"/>
    <n v="274.2355"/>
    <n v="204.26"/>
    <n v="69.975500000000011"/>
    <n v="0.25516572435005686"/>
    <n v="6"/>
    <n v="3"/>
  </r>
  <r>
    <x v="81"/>
    <x v="72"/>
    <s v="2025"/>
    <x v="10"/>
    <s v="Mar 2025"/>
    <x v="1"/>
    <x v="1"/>
    <x v="1"/>
    <x v="3"/>
    <x v="6"/>
    <x v="0"/>
    <x v="2"/>
    <x v="2"/>
    <n v="16"/>
    <n v="11.7"/>
    <x v="3"/>
    <n v="6.36"/>
    <n v="168.48"/>
    <n v="101.76"/>
    <n v="66.719999999999985"/>
    <n v="0.39601139601139596"/>
    <n v="2"/>
    <n v="5"/>
  </r>
  <r>
    <x v="82"/>
    <x v="73"/>
    <s v="2025"/>
    <x v="10"/>
    <s v="Mar 2025"/>
    <x v="0"/>
    <x v="3"/>
    <x v="6"/>
    <x v="3"/>
    <x v="6"/>
    <x v="0"/>
    <x v="2"/>
    <x v="0"/>
    <n v="16"/>
    <n v="11.89"/>
    <x v="2"/>
    <n v="6.2"/>
    <n v="180.72800000000001"/>
    <n v="99.2"/>
    <n v="81.528000000000006"/>
    <n v="0.45110884865654466"/>
    <n v="6"/>
    <n v="4"/>
  </r>
  <r>
    <x v="83"/>
    <x v="74"/>
    <s v="2025"/>
    <x v="3"/>
    <s v="May 2025"/>
    <x v="2"/>
    <x v="1"/>
    <x v="5"/>
    <x v="0"/>
    <x v="8"/>
    <x v="0"/>
    <x v="0"/>
    <x v="4"/>
    <n v="4"/>
    <n v="115.96"/>
    <x v="0"/>
    <n v="71.53"/>
    <n v="463.84"/>
    <n v="286.12"/>
    <n v="177.71999999999997"/>
    <n v="0.38314936184891335"/>
    <n v="5"/>
    <n v="4"/>
  </r>
  <r>
    <x v="84"/>
    <x v="75"/>
    <s v="2025"/>
    <x v="10"/>
    <s v="Mar 2025"/>
    <x v="1"/>
    <x v="0"/>
    <x v="2"/>
    <x v="0"/>
    <x v="0"/>
    <x v="0"/>
    <x v="1"/>
    <x v="0"/>
    <n v="6"/>
    <n v="238.12"/>
    <x v="0"/>
    <n v="179.84"/>
    <n v="1428.72"/>
    <n v="1079.04"/>
    <n v="349.68000000000006"/>
    <n v="0.24475054594322193"/>
    <n v="1"/>
    <n v="4"/>
  </r>
  <r>
    <x v="85"/>
    <x v="30"/>
    <s v="2025"/>
    <x v="7"/>
    <s v="Feb 2025"/>
    <x v="1"/>
    <x v="2"/>
    <x v="8"/>
    <x v="1"/>
    <x v="14"/>
    <x v="2"/>
    <x v="0"/>
    <x v="2"/>
    <n v="1"/>
    <n v="61.19"/>
    <x v="4"/>
    <n v="30.32"/>
    <n v="52.011499999999998"/>
    <n v="30.32"/>
    <n v="21.691499999999998"/>
    <n v="0.41705199811580129"/>
    <n v="8"/>
    <n v="5"/>
  </r>
  <r>
    <x v="86"/>
    <x v="76"/>
    <s v="2025"/>
    <x v="1"/>
    <s v="Jul 2025"/>
    <x v="1"/>
    <x v="0"/>
    <x v="2"/>
    <x v="2"/>
    <x v="5"/>
    <x v="0"/>
    <x v="0"/>
    <x v="2"/>
    <n v="11"/>
    <n v="69.17"/>
    <x v="3"/>
    <n v="36.31"/>
    <n v="684.78300000000002"/>
    <n v="399.41"/>
    <n v="285.37299999999999"/>
    <n v="0.41673493646892518"/>
    <n v="2"/>
    <n v="4"/>
  </r>
  <r>
    <x v="87"/>
    <x v="69"/>
    <s v="2025"/>
    <x v="7"/>
    <s v="Feb 2025"/>
    <x v="1"/>
    <x v="3"/>
    <x v="9"/>
    <x v="1"/>
    <x v="7"/>
    <x v="0"/>
    <x v="1"/>
    <x v="3"/>
    <n v="10"/>
    <n v="42.01"/>
    <x v="0"/>
    <n v="28.12"/>
    <n v="420.09999999999997"/>
    <n v="281.2"/>
    <n v="138.89999999999998"/>
    <n v="0.33063556296119967"/>
    <n v="8"/>
    <n v="4"/>
  </r>
  <r>
    <x v="88"/>
    <x v="77"/>
    <s v="2025"/>
    <x v="5"/>
    <s v="Oct 2025"/>
    <x v="0"/>
    <x v="1"/>
    <x v="5"/>
    <x v="2"/>
    <x v="2"/>
    <x v="1"/>
    <x v="1"/>
    <x v="2"/>
    <n v="4"/>
    <n v="75.239999999999995"/>
    <x v="3"/>
    <n v="45.95"/>
    <n v="270.86399999999998"/>
    <n v="183.8"/>
    <n v="87.063999999999965"/>
    <n v="0.32143068107980377"/>
    <n v="1"/>
    <n v="4"/>
  </r>
  <r>
    <x v="89"/>
    <x v="78"/>
    <s v="2025"/>
    <x v="7"/>
    <s v="Feb 2025"/>
    <x v="1"/>
    <x v="2"/>
    <x v="11"/>
    <x v="1"/>
    <x v="12"/>
    <x v="0"/>
    <x v="0"/>
    <x v="0"/>
    <n v="10"/>
    <n v="35.4"/>
    <x v="2"/>
    <n v="19.88"/>
    <n v="336.3"/>
    <n v="198.79999999999998"/>
    <n v="137.50000000000003"/>
    <n v="0.40886113589057399"/>
    <n v="1"/>
    <n v="4"/>
  </r>
  <r>
    <x v="90"/>
    <x v="79"/>
    <s v="2025"/>
    <x v="5"/>
    <s v="Oct 2025"/>
    <x v="1"/>
    <x v="3"/>
    <x v="9"/>
    <x v="0"/>
    <x v="0"/>
    <x v="1"/>
    <x v="3"/>
    <x v="1"/>
    <n v="2"/>
    <n v="262.86"/>
    <x v="0"/>
    <n v="161.09"/>
    <n v="525.72"/>
    <n v="322.18"/>
    <n v="203.54000000000002"/>
    <n v="0.38716426995358749"/>
    <n v="8"/>
    <n v="5"/>
  </r>
  <r>
    <x v="91"/>
    <x v="80"/>
    <s v="2025"/>
    <x v="8"/>
    <s v="Sep 2025"/>
    <x v="0"/>
    <x v="3"/>
    <x v="9"/>
    <x v="1"/>
    <x v="1"/>
    <x v="0"/>
    <x v="0"/>
    <x v="1"/>
    <n v="11"/>
    <n v="21.42"/>
    <x v="2"/>
    <n v="10.7"/>
    <n v="223.839"/>
    <n v="117.69999999999999"/>
    <n v="106.13900000000001"/>
    <n v="0.47417563516634731"/>
    <n v="7"/>
    <n v="4"/>
  </r>
  <r>
    <x v="92"/>
    <x v="81"/>
    <s v="2025"/>
    <x v="2"/>
    <s v="Dec 2025"/>
    <x v="1"/>
    <x v="3"/>
    <x v="9"/>
    <x v="3"/>
    <x v="10"/>
    <x v="1"/>
    <x v="2"/>
    <x v="3"/>
    <n v="21"/>
    <n v="19.010000000000002"/>
    <x v="2"/>
    <n v="9.34"/>
    <n v="379.24950000000001"/>
    <n v="196.14"/>
    <n v="183.10950000000003"/>
    <n v="0.48282067609845242"/>
    <n v="6"/>
    <n v="5"/>
  </r>
  <r>
    <x v="93"/>
    <x v="25"/>
    <s v="2025"/>
    <x v="2"/>
    <s v="Dec 2025"/>
    <x v="1"/>
    <x v="0"/>
    <x v="3"/>
    <x v="0"/>
    <x v="3"/>
    <x v="0"/>
    <x v="1"/>
    <x v="5"/>
    <n v="8"/>
    <n v="131.91"/>
    <x v="0"/>
    <n v="97.2"/>
    <n v="1055.28"/>
    <n v="777.6"/>
    <n v="277.67999999999995"/>
    <n v="0.2631339549692972"/>
    <n v="5"/>
    <n v="5"/>
  </r>
  <r>
    <x v="94"/>
    <x v="82"/>
    <s v="2025"/>
    <x v="7"/>
    <s v="Feb 2025"/>
    <x v="1"/>
    <x v="0"/>
    <x v="3"/>
    <x v="1"/>
    <x v="7"/>
    <x v="2"/>
    <x v="1"/>
    <x v="1"/>
    <n v="10"/>
    <n v="48.51"/>
    <x v="2"/>
    <n v="25.56"/>
    <n v="460.84499999999997"/>
    <n v="255.6"/>
    <n v="205.24499999999998"/>
    <n v="0.44536666341177616"/>
    <n v="7"/>
    <n v="4"/>
  </r>
  <r>
    <x v="95"/>
    <x v="67"/>
    <s v="2025"/>
    <x v="3"/>
    <s v="May 2025"/>
    <x v="1"/>
    <x v="1"/>
    <x v="5"/>
    <x v="1"/>
    <x v="14"/>
    <x v="0"/>
    <x v="2"/>
    <x v="3"/>
    <n v="6"/>
    <n v="57.71"/>
    <x v="2"/>
    <n v="32.36"/>
    <n v="328.947"/>
    <n v="194.16"/>
    <n v="134.78700000000001"/>
    <n v="0.40975293892329162"/>
    <n v="5"/>
    <n v="5"/>
  </r>
  <r>
    <x v="96"/>
    <x v="83"/>
    <s v="2025"/>
    <x v="8"/>
    <s v="Sep 2025"/>
    <x v="1"/>
    <x v="1"/>
    <x v="1"/>
    <x v="2"/>
    <x v="5"/>
    <x v="1"/>
    <x v="2"/>
    <x v="5"/>
    <n v="19"/>
    <n v="71.86"/>
    <x v="2"/>
    <n v="39.29"/>
    <n v="1297.0729999999999"/>
    <n v="746.51"/>
    <n v="550.56299999999987"/>
    <n v="0.42446570085106999"/>
    <n v="2"/>
    <n v="4"/>
  </r>
  <r>
    <x v="97"/>
    <x v="84"/>
    <s v="2025"/>
    <x v="10"/>
    <s v="Mar 2025"/>
    <x v="1"/>
    <x v="2"/>
    <x v="11"/>
    <x v="2"/>
    <x v="5"/>
    <x v="1"/>
    <x v="1"/>
    <x v="2"/>
    <n v="13"/>
    <n v="71.81"/>
    <x v="2"/>
    <n v="37.479999999999997"/>
    <n v="886.85349999999994"/>
    <n v="487.23999999999995"/>
    <n v="399.61349999999999"/>
    <n v="0.45059697007453881"/>
    <n v="6"/>
    <n v="4"/>
  </r>
  <r>
    <x v="98"/>
    <x v="68"/>
    <s v="2025"/>
    <x v="7"/>
    <s v="Feb 2025"/>
    <x v="0"/>
    <x v="2"/>
    <x v="4"/>
    <x v="3"/>
    <x v="6"/>
    <x v="1"/>
    <x v="1"/>
    <x v="3"/>
    <n v="3"/>
    <n v="11.56"/>
    <x v="3"/>
    <n v="6.84"/>
    <n v="31.212"/>
    <n v="20.52"/>
    <n v="10.692"/>
    <n v="0.34256055363321802"/>
    <n v="3"/>
    <n v="5"/>
  </r>
  <r>
    <x v="99"/>
    <x v="85"/>
    <s v="2025"/>
    <x v="6"/>
    <s v="Aug 2025"/>
    <x v="1"/>
    <x v="1"/>
    <x v="5"/>
    <x v="3"/>
    <x v="6"/>
    <x v="0"/>
    <x v="1"/>
    <x v="0"/>
    <n v="25"/>
    <n v="12.41"/>
    <x v="3"/>
    <n v="6.42"/>
    <n v="279.22500000000002"/>
    <n v="160.5"/>
    <n v="118.72500000000002"/>
    <n v="0.42519473542841801"/>
    <n v="4"/>
    <n v="4"/>
  </r>
  <r>
    <x v="100"/>
    <x v="86"/>
    <s v="2025"/>
    <x v="9"/>
    <s v="Jan 2025"/>
    <x v="0"/>
    <x v="3"/>
    <x v="9"/>
    <x v="0"/>
    <x v="15"/>
    <x v="0"/>
    <x v="2"/>
    <x v="0"/>
    <n v="1"/>
    <n v="181.83"/>
    <x v="3"/>
    <n v="116.38"/>
    <n v="163.64700000000002"/>
    <n v="116.38"/>
    <n v="47.267000000000024"/>
    <n v="0.28883511460643957"/>
    <n v="5"/>
    <n v="4"/>
  </r>
  <r>
    <x v="101"/>
    <x v="87"/>
    <s v="2025"/>
    <x v="0"/>
    <s v="Nov 2025"/>
    <x v="1"/>
    <x v="2"/>
    <x v="4"/>
    <x v="1"/>
    <x v="7"/>
    <x v="2"/>
    <x v="3"/>
    <x v="4"/>
    <n v="9"/>
    <n v="45.89"/>
    <x v="2"/>
    <n v="28.24"/>
    <n v="392.35949999999997"/>
    <n v="254.16"/>
    <n v="138.19949999999997"/>
    <n v="0.35222672064777322"/>
    <n v="1"/>
    <n v="4"/>
  </r>
  <r>
    <x v="102"/>
    <x v="85"/>
    <s v="2025"/>
    <x v="6"/>
    <s v="Aug 2025"/>
    <x v="1"/>
    <x v="0"/>
    <x v="3"/>
    <x v="1"/>
    <x v="1"/>
    <x v="0"/>
    <x v="0"/>
    <x v="5"/>
    <n v="4"/>
    <n v="23.35"/>
    <x v="3"/>
    <n v="11.23"/>
    <n v="84.06"/>
    <n v="44.92"/>
    <n v="39.14"/>
    <n v="0.46561979538424936"/>
    <n v="6"/>
    <n v="4"/>
  </r>
  <r>
    <x v="103"/>
    <x v="88"/>
    <s v="2025"/>
    <x v="11"/>
    <s v="Jun 2025"/>
    <x v="1"/>
    <x v="2"/>
    <x v="8"/>
    <x v="3"/>
    <x v="9"/>
    <x v="1"/>
    <x v="1"/>
    <x v="3"/>
    <n v="4"/>
    <n v="10.58"/>
    <x v="0"/>
    <n v="4.82"/>
    <n v="42.32"/>
    <n v="19.28"/>
    <n v="23.04"/>
    <n v="0.54442344045368618"/>
    <n v="4"/>
    <n v="3"/>
  </r>
  <r>
    <x v="104"/>
    <x v="89"/>
    <s v="2025"/>
    <x v="4"/>
    <s v="Apr 2025"/>
    <x v="1"/>
    <x v="0"/>
    <x v="2"/>
    <x v="2"/>
    <x v="13"/>
    <x v="1"/>
    <x v="3"/>
    <x v="4"/>
    <n v="22"/>
    <n v="37.68"/>
    <x v="3"/>
    <n v="23.45"/>
    <n v="746.06400000000008"/>
    <n v="515.9"/>
    <n v="230.1640000000001"/>
    <n v="0.30850436423684841"/>
    <n v="6"/>
    <n v="4"/>
  </r>
  <r>
    <x v="105"/>
    <x v="90"/>
    <s v="2025"/>
    <x v="1"/>
    <s v="Jul 2025"/>
    <x v="1"/>
    <x v="1"/>
    <x v="10"/>
    <x v="0"/>
    <x v="15"/>
    <x v="0"/>
    <x v="2"/>
    <x v="5"/>
    <n v="5"/>
    <n v="188.34"/>
    <x v="0"/>
    <n v="119.18"/>
    <n v="941.7"/>
    <n v="595.90000000000009"/>
    <n v="345.79999999999995"/>
    <n v="0.36720824041626837"/>
    <n v="3"/>
    <n v="4"/>
  </r>
  <r>
    <x v="106"/>
    <x v="91"/>
    <s v="2025"/>
    <x v="11"/>
    <s v="Jun 2025"/>
    <x v="0"/>
    <x v="0"/>
    <x v="0"/>
    <x v="1"/>
    <x v="1"/>
    <x v="0"/>
    <x v="2"/>
    <x v="3"/>
    <n v="12"/>
    <n v="21.95"/>
    <x v="3"/>
    <n v="10.91"/>
    <n v="237.05999999999997"/>
    <n v="130.92000000000002"/>
    <n v="106.13999999999996"/>
    <n v="0.4477347506960262"/>
    <n v="6"/>
    <n v="5"/>
  </r>
  <r>
    <x v="107"/>
    <x v="38"/>
    <s v="2025"/>
    <x v="6"/>
    <s v="Aug 2025"/>
    <x v="0"/>
    <x v="2"/>
    <x v="8"/>
    <x v="2"/>
    <x v="11"/>
    <x v="0"/>
    <x v="3"/>
    <x v="0"/>
    <n v="25"/>
    <n v="50.37"/>
    <x v="0"/>
    <n v="30.03"/>
    <n v="1259.25"/>
    <n v="750.75"/>
    <n v="508.5"/>
    <n v="0.4038117927337701"/>
    <n v="8"/>
    <n v="3"/>
  </r>
  <r>
    <x v="108"/>
    <x v="92"/>
    <s v="2025"/>
    <x v="7"/>
    <s v="Feb 2025"/>
    <x v="1"/>
    <x v="3"/>
    <x v="6"/>
    <x v="1"/>
    <x v="14"/>
    <x v="1"/>
    <x v="1"/>
    <x v="1"/>
    <n v="8"/>
    <n v="60.98"/>
    <x v="3"/>
    <n v="31.34"/>
    <n v="439.05599999999998"/>
    <n v="250.72"/>
    <n v="188.33599999999998"/>
    <n v="0.42895667067526694"/>
    <n v="3"/>
    <n v="4"/>
  </r>
  <r>
    <x v="109"/>
    <x v="93"/>
    <s v="2025"/>
    <x v="1"/>
    <s v="Jul 2025"/>
    <x v="1"/>
    <x v="2"/>
    <x v="8"/>
    <x v="3"/>
    <x v="6"/>
    <x v="0"/>
    <x v="2"/>
    <x v="0"/>
    <n v="5"/>
    <n v="11.49"/>
    <x v="2"/>
    <n v="6.25"/>
    <n v="54.577500000000001"/>
    <n v="31.25"/>
    <n v="23.327500000000001"/>
    <n v="0.42741972424533919"/>
    <n v="5"/>
    <n v="5"/>
  </r>
  <r>
    <x v="110"/>
    <x v="94"/>
    <s v="2025"/>
    <x v="8"/>
    <s v="Sep 2025"/>
    <x v="2"/>
    <x v="3"/>
    <x v="7"/>
    <x v="3"/>
    <x v="6"/>
    <x v="2"/>
    <x v="2"/>
    <x v="4"/>
    <n v="23"/>
    <n v="13.35"/>
    <x v="3"/>
    <n v="7.01"/>
    <n v="276.34500000000003"/>
    <n v="161.22999999999999"/>
    <n v="115.11500000000004"/>
    <n v="0.41656263004577621"/>
    <n v="2"/>
    <n v="4"/>
  </r>
  <r>
    <x v="111"/>
    <x v="95"/>
    <s v="2025"/>
    <x v="3"/>
    <s v="May 2025"/>
    <x v="1"/>
    <x v="2"/>
    <x v="4"/>
    <x v="0"/>
    <x v="0"/>
    <x v="2"/>
    <x v="0"/>
    <x v="3"/>
    <n v="3"/>
    <n v="247.54"/>
    <x v="2"/>
    <n v="169.84"/>
    <n v="705.48899999999992"/>
    <n v="509.52"/>
    <n v="195.96899999999994"/>
    <n v="0.27777754153502032"/>
    <n v="6"/>
    <n v="4"/>
  </r>
  <r>
    <x v="112"/>
    <x v="96"/>
    <s v="2025"/>
    <x v="5"/>
    <s v="Oct 2025"/>
    <x v="2"/>
    <x v="3"/>
    <x v="6"/>
    <x v="2"/>
    <x v="11"/>
    <x v="0"/>
    <x v="2"/>
    <x v="0"/>
    <n v="15"/>
    <n v="51.32"/>
    <x v="0"/>
    <n v="29.45"/>
    <n v="769.8"/>
    <n v="441.75"/>
    <n v="328.04999999999995"/>
    <n v="0.4261496492595479"/>
    <n v="6"/>
    <n v="5"/>
  </r>
  <r>
    <x v="113"/>
    <x v="97"/>
    <s v="2025"/>
    <x v="6"/>
    <s v="Aug 2025"/>
    <x v="0"/>
    <x v="1"/>
    <x v="5"/>
    <x v="1"/>
    <x v="7"/>
    <x v="1"/>
    <x v="1"/>
    <x v="3"/>
    <n v="7"/>
    <n v="45.48"/>
    <x v="3"/>
    <n v="28.59"/>
    <n v="286.52399999999994"/>
    <n v="200.13"/>
    <n v="86.393999999999949"/>
    <n v="0.30152447962474338"/>
    <n v="9"/>
    <n v="4"/>
  </r>
  <r>
    <x v="114"/>
    <x v="46"/>
    <s v="2025"/>
    <x v="10"/>
    <s v="Mar 2025"/>
    <x v="2"/>
    <x v="3"/>
    <x v="9"/>
    <x v="2"/>
    <x v="5"/>
    <x v="0"/>
    <x v="3"/>
    <x v="4"/>
    <n v="10"/>
    <n v="61.31"/>
    <x v="0"/>
    <n v="40.770000000000003"/>
    <n v="613.1"/>
    <n v="407.70000000000005"/>
    <n v="205.39999999999998"/>
    <n v="0.33501875713586687"/>
    <n v="5"/>
    <n v="5"/>
  </r>
  <r>
    <x v="115"/>
    <x v="98"/>
    <s v="2025"/>
    <x v="7"/>
    <s v="Feb 2025"/>
    <x v="0"/>
    <x v="3"/>
    <x v="6"/>
    <x v="2"/>
    <x v="5"/>
    <x v="0"/>
    <x v="3"/>
    <x v="0"/>
    <n v="3"/>
    <n v="70.3"/>
    <x v="0"/>
    <n v="35.130000000000003"/>
    <n v="210.89999999999998"/>
    <n v="105.39000000000001"/>
    <n v="105.50999999999996"/>
    <n v="0.50028449502133698"/>
    <n v="5"/>
    <n v="5"/>
  </r>
  <r>
    <x v="116"/>
    <x v="79"/>
    <s v="2025"/>
    <x v="5"/>
    <s v="Oct 2025"/>
    <x v="1"/>
    <x v="1"/>
    <x v="5"/>
    <x v="0"/>
    <x v="15"/>
    <x v="1"/>
    <x v="3"/>
    <x v="2"/>
    <n v="4"/>
    <n v="188.48"/>
    <x v="0"/>
    <n v="118.4"/>
    <n v="753.92"/>
    <n v="473.6"/>
    <n v="280.31999999999994"/>
    <n v="0.3718166383701188"/>
    <n v="2"/>
    <n v="5"/>
  </r>
  <r>
    <x v="117"/>
    <x v="99"/>
    <s v="2025"/>
    <x v="10"/>
    <s v="Mar 2025"/>
    <x v="1"/>
    <x v="1"/>
    <x v="10"/>
    <x v="1"/>
    <x v="7"/>
    <x v="0"/>
    <x v="3"/>
    <x v="1"/>
    <n v="6"/>
    <n v="50.16"/>
    <x v="2"/>
    <n v="25.4"/>
    <n v="285.91199999999998"/>
    <n v="152.39999999999998"/>
    <n v="133.512"/>
    <n v="0.46696885755057504"/>
    <n v="9"/>
    <n v="3"/>
  </r>
  <r>
    <x v="118"/>
    <x v="9"/>
    <s v="2025"/>
    <x v="3"/>
    <s v="May 2025"/>
    <x v="1"/>
    <x v="1"/>
    <x v="1"/>
    <x v="3"/>
    <x v="10"/>
    <x v="0"/>
    <x v="2"/>
    <x v="0"/>
    <n v="15"/>
    <n v="17.18"/>
    <x v="0"/>
    <n v="10.58"/>
    <n v="257.7"/>
    <n v="158.69999999999999"/>
    <n v="99"/>
    <n v="0.38416763678696159"/>
    <n v="6"/>
    <n v="5"/>
  </r>
  <r>
    <x v="119"/>
    <x v="100"/>
    <s v="2025"/>
    <x v="11"/>
    <s v="Jun 2025"/>
    <x v="1"/>
    <x v="3"/>
    <x v="7"/>
    <x v="1"/>
    <x v="14"/>
    <x v="2"/>
    <x v="0"/>
    <x v="4"/>
    <n v="7"/>
    <n v="55.62"/>
    <x v="0"/>
    <n v="34.39"/>
    <n v="389.34"/>
    <n v="240.73000000000002"/>
    <n v="148.60999999999996"/>
    <n v="0.38169723121179422"/>
    <n v="6"/>
    <n v="3"/>
  </r>
  <r>
    <x v="120"/>
    <x v="45"/>
    <s v="2025"/>
    <x v="3"/>
    <s v="May 2025"/>
    <x v="1"/>
    <x v="1"/>
    <x v="5"/>
    <x v="2"/>
    <x v="13"/>
    <x v="0"/>
    <x v="0"/>
    <x v="2"/>
    <n v="6"/>
    <n v="43.77"/>
    <x v="3"/>
    <n v="24.87"/>
    <n v="236.358"/>
    <n v="149.22"/>
    <n v="87.138000000000005"/>
    <n v="0.36866956058182926"/>
    <n v="6"/>
    <n v="3"/>
  </r>
  <r>
    <x v="121"/>
    <x v="101"/>
    <s v="2025"/>
    <x v="9"/>
    <s v="Jan 2025"/>
    <x v="1"/>
    <x v="3"/>
    <x v="9"/>
    <x v="1"/>
    <x v="12"/>
    <x v="0"/>
    <x v="3"/>
    <x v="0"/>
    <n v="11"/>
    <n v="36.21"/>
    <x v="0"/>
    <n v="18.809999999999999"/>
    <n v="398.31"/>
    <n v="206.91"/>
    <n v="191.4"/>
    <n v="0.48053024026512015"/>
    <n v="6"/>
    <n v="5"/>
  </r>
  <r>
    <x v="122"/>
    <x v="102"/>
    <s v="2025"/>
    <x v="11"/>
    <s v="Jun 2025"/>
    <x v="1"/>
    <x v="2"/>
    <x v="4"/>
    <x v="3"/>
    <x v="9"/>
    <x v="2"/>
    <x v="1"/>
    <x v="1"/>
    <n v="12"/>
    <n v="10.77"/>
    <x v="0"/>
    <n v="4.51"/>
    <n v="129.24"/>
    <n v="54.12"/>
    <n v="75.12"/>
    <n v="0.58124419684308259"/>
    <n v="9"/>
    <n v="4"/>
  </r>
  <r>
    <x v="123"/>
    <x v="103"/>
    <s v="2025"/>
    <x v="0"/>
    <s v="Nov 2025"/>
    <x v="1"/>
    <x v="2"/>
    <x v="4"/>
    <x v="1"/>
    <x v="1"/>
    <x v="2"/>
    <x v="2"/>
    <x v="1"/>
    <n v="10"/>
    <n v="21.25"/>
    <x v="2"/>
    <n v="11.56"/>
    <n v="201.875"/>
    <n v="115.60000000000001"/>
    <n v="86.274999999999991"/>
    <n v="0.42736842105263156"/>
    <n v="2"/>
    <n v="5"/>
  </r>
  <r>
    <x v="124"/>
    <x v="104"/>
    <s v="2025"/>
    <x v="5"/>
    <s v="Oct 2025"/>
    <x v="1"/>
    <x v="2"/>
    <x v="8"/>
    <x v="2"/>
    <x v="11"/>
    <x v="2"/>
    <x v="1"/>
    <x v="1"/>
    <n v="3"/>
    <n v="49.36"/>
    <x v="2"/>
    <n v="26.52"/>
    <n v="140.67599999999999"/>
    <n v="79.56"/>
    <n v="61.115999999999985"/>
    <n v="0.43444510790753216"/>
    <n v="7"/>
    <n v="4"/>
  </r>
  <r>
    <x v="125"/>
    <x v="105"/>
    <s v="2025"/>
    <x v="2"/>
    <s v="Dec 2025"/>
    <x v="1"/>
    <x v="3"/>
    <x v="7"/>
    <x v="1"/>
    <x v="12"/>
    <x v="0"/>
    <x v="2"/>
    <x v="3"/>
    <n v="7"/>
    <n v="36.82"/>
    <x v="3"/>
    <n v="19.71"/>
    <n v="231.96600000000001"/>
    <n v="137.97"/>
    <n v="93.996000000000009"/>
    <n v="0.40521455730581207"/>
    <n v="8"/>
    <n v="5"/>
  </r>
  <r>
    <x v="126"/>
    <x v="106"/>
    <s v="2025"/>
    <x v="7"/>
    <s v="Feb 2025"/>
    <x v="1"/>
    <x v="3"/>
    <x v="6"/>
    <x v="3"/>
    <x v="4"/>
    <x v="1"/>
    <x v="2"/>
    <x v="5"/>
    <n v="7"/>
    <n v="25.03"/>
    <x v="2"/>
    <n v="14.07"/>
    <n v="166.4495"/>
    <n v="98.490000000000009"/>
    <n v="67.959499999999991"/>
    <n v="0.4082890005677397"/>
    <n v="5"/>
    <n v="5"/>
  </r>
  <r>
    <x v="127"/>
    <x v="26"/>
    <s v="2025"/>
    <x v="4"/>
    <s v="Apr 2025"/>
    <x v="2"/>
    <x v="3"/>
    <x v="9"/>
    <x v="1"/>
    <x v="7"/>
    <x v="1"/>
    <x v="3"/>
    <x v="1"/>
    <n v="4"/>
    <n v="47.33"/>
    <x v="2"/>
    <n v="26.95"/>
    <n v="179.85399999999998"/>
    <n v="107.8"/>
    <n v="72.053999999999988"/>
    <n v="0.40062495134942783"/>
    <n v="9"/>
    <n v="5"/>
  </r>
  <r>
    <x v="128"/>
    <x v="107"/>
    <s v="2025"/>
    <x v="3"/>
    <s v="May 2025"/>
    <x v="1"/>
    <x v="2"/>
    <x v="4"/>
    <x v="1"/>
    <x v="14"/>
    <x v="1"/>
    <x v="3"/>
    <x v="3"/>
    <n v="5"/>
    <n v="50.01"/>
    <x v="0"/>
    <n v="34.33"/>
    <n v="250.04999999999998"/>
    <n v="171.64999999999998"/>
    <n v="78.400000000000006"/>
    <n v="0.31353729254149176"/>
    <n v="8"/>
    <n v="5"/>
  </r>
  <r>
    <x v="129"/>
    <x v="108"/>
    <s v="2025"/>
    <x v="8"/>
    <s v="Sep 2025"/>
    <x v="0"/>
    <x v="3"/>
    <x v="7"/>
    <x v="2"/>
    <x v="2"/>
    <x v="1"/>
    <x v="1"/>
    <x v="4"/>
    <n v="21"/>
    <n v="79.72"/>
    <x v="0"/>
    <n v="43.12"/>
    <n v="1674.12"/>
    <n v="905.52"/>
    <n v="768.59999999999991"/>
    <n v="0.45910687405920719"/>
    <n v="9"/>
    <n v="4"/>
  </r>
  <r>
    <x v="130"/>
    <x v="66"/>
    <s v="2025"/>
    <x v="4"/>
    <s v="Apr 2025"/>
    <x v="0"/>
    <x v="0"/>
    <x v="0"/>
    <x v="1"/>
    <x v="14"/>
    <x v="0"/>
    <x v="0"/>
    <x v="0"/>
    <n v="3"/>
    <n v="54.42"/>
    <x v="4"/>
    <n v="34.229999999999997"/>
    <n v="138.77099999999999"/>
    <n v="102.69"/>
    <n v="36.080999999999989"/>
    <n v="0.26000389130293788"/>
    <n v="8"/>
    <n v="5"/>
  </r>
  <r>
    <x v="131"/>
    <x v="109"/>
    <s v="2025"/>
    <x v="3"/>
    <s v="May 2025"/>
    <x v="1"/>
    <x v="2"/>
    <x v="11"/>
    <x v="0"/>
    <x v="8"/>
    <x v="2"/>
    <x v="0"/>
    <x v="3"/>
    <n v="7"/>
    <n v="131.29"/>
    <x v="4"/>
    <n v="71.11"/>
    <n v="781.17549999999994"/>
    <n v="497.77"/>
    <n v="283.40549999999996"/>
    <n v="0.36279363600112907"/>
    <n v="7"/>
    <n v="5"/>
  </r>
  <r>
    <x v="132"/>
    <x v="110"/>
    <s v="2025"/>
    <x v="4"/>
    <s v="Apr 2025"/>
    <x v="1"/>
    <x v="2"/>
    <x v="4"/>
    <x v="3"/>
    <x v="6"/>
    <x v="1"/>
    <x v="2"/>
    <x v="1"/>
    <n v="19"/>
    <n v="12.18"/>
    <x v="0"/>
    <n v="6.9"/>
    <n v="231.42"/>
    <n v="131.1"/>
    <n v="100.32"/>
    <n v="0.43349753694581278"/>
    <n v="9"/>
    <n v="4"/>
  </r>
  <r>
    <x v="133"/>
    <x v="26"/>
    <s v="2025"/>
    <x v="4"/>
    <s v="Apr 2025"/>
    <x v="0"/>
    <x v="0"/>
    <x v="2"/>
    <x v="3"/>
    <x v="9"/>
    <x v="2"/>
    <x v="0"/>
    <x v="1"/>
    <n v="12"/>
    <n v="10.74"/>
    <x v="3"/>
    <n v="4.55"/>
    <n v="115.992"/>
    <n v="54.599999999999994"/>
    <n v="61.39200000000001"/>
    <n v="0.52927788123318853"/>
    <n v="3"/>
    <n v="5"/>
  </r>
  <r>
    <x v="134"/>
    <x v="0"/>
    <s v="2025"/>
    <x v="0"/>
    <s v="Nov 2025"/>
    <x v="1"/>
    <x v="1"/>
    <x v="10"/>
    <x v="1"/>
    <x v="12"/>
    <x v="0"/>
    <x v="1"/>
    <x v="2"/>
    <n v="6"/>
    <n v="38.71"/>
    <x v="2"/>
    <n v="18.420000000000002"/>
    <n v="220.64699999999999"/>
    <n v="110.52000000000001"/>
    <n v="110.12699999999998"/>
    <n v="0.49910943724591761"/>
    <n v="8"/>
    <n v="5"/>
  </r>
  <r>
    <x v="135"/>
    <x v="111"/>
    <s v="2025"/>
    <x v="11"/>
    <s v="Jun 2025"/>
    <x v="1"/>
    <x v="2"/>
    <x v="8"/>
    <x v="0"/>
    <x v="8"/>
    <x v="0"/>
    <x v="1"/>
    <x v="4"/>
    <n v="2"/>
    <n v="120.29"/>
    <x v="3"/>
    <n v="70.92"/>
    <n v="216.52200000000002"/>
    <n v="141.84"/>
    <n v="74.682000000000016"/>
    <n v="0.34491645190788933"/>
    <n v="5"/>
    <n v="5"/>
  </r>
  <r>
    <x v="136"/>
    <x v="0"/>
    <s v="2025"/>
    <x v="0"/>
    <s v="Nov 2025"/>
    <x v="1"/>
    <x v="2"/>
    <x v="11"/>
    <x v="0"/>
    <x v="0"/>
    <x v="1"/>
    <x v="2"/>
    <x v="1"/>
    <n v="6"/>
    <n v="257.79000000000002"/>
    <x v="2"/>
    <n v="171.34"/>
    <n v="1469.4030000000002"/>
    <n v="1028.04"/>
    <n v="441.36300000000028"/>
    <n v="0.30036892533906639"/>
    <n v="9"/>
    <n v="5"/>
  </r>
  <r>
    <x v="137"/>
    <x v="112"/>
    <s v="2025"/>
    <x v="4"/>
    <s v="Apr 2025"/>
    <x v="1"/>
    <x v="3"/>
    <x v="6"/>
    <x v="0"/>
    <x v="8"/>
    <x v="2"/>
    <x v="3"/>
    <x v="4"/>
    <n v="2"/>
    <n v="109.63"/>
    <x v="2"/>
    <n v="75.569999999999993"/>
    <n v="208.29699999999997"/>
    <n v="151.13999999999999"/>
    <n v="57.156999999999982"/>
    <n v="0.27440145561385904"/>
    <n v="9"/>
    <n v="4"/>
  </r>
  <r>
    <x v="138"/>
    <x v="113"/>
    <s v="2025"/>
    <x v="11"/>
    <s v="Jun 2025"/>
    <x v="1"/>
    <x v="1"/>
    <x v="1"/>
    <x v="0"/>
    <x v="15"/>
    <x v="0"/>
    <x v="0"/>
    <x v="2"/>
    <n v="3"/>
    <n v="177.26"/>
    <x v="0"/>
    <n v="114.21"/>
    <n v="531.78"/>
    <n v="342.63"/>
    <n v="189.14999999999998"/>
    <n v="0.35569220354281844"/>
    <n v="8"/>
    <n v="5"/>
  </r>
  <r>
    <x v="139"/>
    <x v="114"/>
    <s v="2025"/>
    <x v="11"/>
    <s v="Jun 2025"/>
    <x v="0"/>
    <x v="0"/>
    <x v="2"/>
    <x v="3"/>
    <x v="6"/>
    <x v="2"/>
    <x v="0"/>
    <x v="2"/>
    <n v="13"/>
    <n v="12.65"/>
    <x v="0"/>
    <n v="6.54"/>
    <n v="164.45000000000002"/>
    <n v="85.02"/>
    <n v="79.430000000000021"/>
    <n v="0.48300395256917006"/>
    <n v="2"/>
    <n v="5"/>
  </r>
  <r>
    <x v="140"/>
    <x v="115"/>
    <s v="2025"/>
    <x v="6"/>
    <s v="Aug 2025"/>
    <x v="2"/>
    <x v="0"/>
    <x v="2"/>
    <x v="1"/>
    <x v="7"/>
    <x v="2"/>
    <x v="2"/>
    <x v="5"/>
    <n v="7"/>
    <n v="44.94"/>
    <x v="2"/>
    <n v="28.8"/>
    <n v="298.851"/>
    <n v="201.6"/>
    <n v="97.251000000000005"/>
    <n v="0.32541634459981733"/>
    <n v="2"/>
    <n v="5"/>
  </r>
  <r>
    <x v="141"/>
    <x v="116"/>
    <s v="2025"/>
    <x v="2"/>
    <s v="Dec 2025"/>
    <x v="1"/>
    <x v="3"/>
    <x v="6"/>
    <x v="2"/>
    <x v="11"/>
    <x v="0"/>
    <x v="1"/>
    <x v="1"/>
    <n v="9"/>
    <n v="52.02"/>
    <x v="1"/>
    <n v="29.15"/>
    <n v="374.54400000000004"/>
    <n v="262.34999999999997"/>
    <n v="112.19400000000007"/>
    <n v="0.29954825067281832"/>
    <n v="8"/>
    <n v="5"/>
  </r>
  <r>
    <x v="142"/>
    <x v="117"/>
    <s v="2025"/>
    <x v="5"/>
    <s v="Oct 2025"/>
    <x v="1"/>
    <x v="1"/>
    <x v="5"/>
    <x v="1"/>
    <x v="7"/>
    <x v="0"/>
    <x v="3"/>
    <x v="3"/>
    <n v="12"/>
    <n v="48.08"/>
    <x v="3"/>
    <n v="24.98"/>
    <n v="519.26400000000001"/>
    <n v="299.76"/>
    <n v="219.50400000000002"/>
    <n v="0.42272139027546685"/>
    <n v="1"/>
    <n v="4"/>
  </r>
  <r>
    <x v="143"/>
    <x v="92"/>
    <s v="2025"/>
    <x v="7"/>
    <s v="Feb 2025"/>
    <x v="1"/>
    <x v="0"/>
    <x v="3"/>
    <x v="3"/>
    <x v="6"/>
    <x v="0"/>
    <x v="2"/>
    <x v="3"/>
    <n v="19"/>
    <n v="11.37"/>
    <x v="0"/>
    <n v="6.88"/>
    <n v="216.02999999999997"/>
    <n v="130.72"/>
    <n v="85.309999999999974"/>
    <n v="0.39489885664028135"/>
    <n v="9"/>
    <n v="5"/>
  </r>
  <r>
    <x v="144"/>
    <x v="66"/>
    <s v="2025"/>
    <x v="4"/>
    <s v="Apr 2025"/>
    <x v="2"/>
    <x v="2"/>
    <x v="8"/>
    <x v="0"/>
    <x v="3"/>
    <x v="0"/>
    <x v="1"/>
    <x v="2"/>
    <n v="5"/>
    <n v="134.47"/>
    <x v="2"/>
    <n v="90.82"/>
    <n v="638.73249999999996"/>
    <n v="454.09999999999997"/>
    <n v="184.63249999999999"/>
    <n v="0.28906075704618134"/>
    <n v="3"/>
    <n v="5"/>
  </r>
  <r>
    <x v="145"/>
    <x v="118"/>
    <s v="2025"/>
    <x v="6"/>
    <s v="Aug 2025"/>
    <x v="1"/>
    <x v="1"/>
    <x v="1"/>
    <x v="2"/>
    <x v="13"/>
    <x v="2"/>
    <x v="2"/>
    <x v="2"/>
    <n v="6"/>
    <n v="38.64"/>
    <x v="2"/>
    <n v="22.79"/>
    <n v="220.24799999999999"/>
    <n v="136.74"/>
    <n v="83.507999999999981"/>
    <n v="0.37915440775852666"/>
    <n v="4"/>
    <n v="5"/>
  </r>
  <r>
    <x v="146"/>
    <x v="119"/>
    <s v="2025"/>
    <x v="11"/>
    <s v="Jun 2025"/>
    <x v="0"/>
    <x v="3"/>
    <x v="9"/>
    <x v="2"/>
    <x v="13"/>
    <x v="1"/>
    <x v="1"/>
    <x v="2"/>
    <n v="9"/>
    <n v="38.24"/>
    <x v="0"/>
    <n v="23.35"/>
    <n v="344.16"/>
    <n v="210.15"/>
    <n v="134.01000000000002"/>
    <n v="0.38938284518828453"/>
    <n v="8"/>
    <n v="5"/>
  </r>
  <r>
    <x v="147"/>
    <x v="98"/>
    <s v="2025"/>
    <x v="7"/>
    <s v="Feb 2025"/>
    <x v="1"/>
    <x v="3"/>
    <x v="7"/>
    <x v="3"/>
    <x v="6"/>
    <x v="1"/>
    <x v="1"/>
    <x v="2"/>
    <n v="8"/>
    <n v="13.1"/>
    <x v="1"/>
    <n v="6.33"/>
    <n v="83.84"/>
    <n v="50.64"/>
    <n v="33.200000000000003"/>
    <n v="0.39599236641221375"/>
    <n v="1"/>
    <n v="4"/>
  </r>
  <r>
    <x v="148"/>
    <x v="120"/>
    <s v="2025"/>
    <x v="4"/>
    <s v="Apr 2025"/>
    <x v="0"/>
    <x v="0"/>
    <x v="3"/>
    <x v="2"/>
    <x v="13"/>
    <x v="1"/>
    <x v="1"/>
    <x v="2"/>
    <n v="9"/>
    <n v="40.86"/>
    <x v="2"/>
    <n v="25.06"/>
    <n v="349.35300000000001"/>
    <n v="225.54"/>
    <n v="123.81300000000002"/>
    <n v="0.35440657443903451"/>
    <n v="9"/>
    <n v="5"/>
  </r>
  <r>
    <x v="149"/>
    <x v="114"/>
    <s v="2025"/>
    <x v="11"/>
    <s v="Jun 2025"/>
    <x v="0"/>
    <x v="2"/>
    <x v="11"/>
    <x v="1"/>
    <x v="14"/>
    <x v="2"/>
    <x v="2"/>
    <x v="5"/>
    <n v="4"/>
    <n v="53.99"/>
    <x v="2"/>
    <n v="31.56"/>
    <n v="205.16200000000001"/>
    <n v="126.24"/>
    <n v="78.922000000000011"/>
    <n v="0.38468137374367578"/>
    <n v="4"/>
    <n v="5"/>
  </r>
  <r>
    <x v="150"/>
    <x v="121"/>
    <s v="2025"/>
    <x v="9"/>
    <s v="Jan 2025"/>
    <x v="1"/>
    <x v="2"/>
    <x v="8"/>
    <x v="2"/>
    <x v="13"/>
    <x v="0"/>
    <x v="1"/>
    <x v="2"/>
    <n v="20"/>
    <n v="43.33"/>
    <x v="3"/>
    <n v="24"/>
    <n v="779.93999999999994"/>
    <n v="480"/>
    <n v="299.93999999999994"/>
    <n v="0.38456804369566883"/>
    <n v="6"/>
    <n v="4"/>
  </r>
  <r>
    <x v="151"/>
    <x v="122"/>
    <s v="2025"/>
    <x v="8"/>
    <s v="Sep 2025"/>
    <x v="0"/>
    <x v="1"/>
    <x v="10"/>
    <x v="3"/>
    <x v="4"/>
    <x v="0"/>
    <x v="2"/>
    <x v="3"/>
    <n v="19"/>
    <n v="27.95"/>
    <x v="2"/>
    <n v="15.02"/>
    <n v="504.49749999999995"/>
    <n v="285.38"/>
    <n v="219.11749999999995"/>
    <n v="0.43432821768195079"/>
    <n v="2"/>
    <n v="5"/>
  </r>
  <r>
    <x v="152"/>
    <x v="123"/>
    <s v="2025"/>
    <x v="2"/>
    <s v="Dec 2025"/>
    <x v="1"/>
    <x v="0"/>
    <x v="0"/>
    <x v="1"/>
    <x v="7"/>
    <x v="0"/>
    <x v="1"/>
    <x v="0"/>
    <n v="8"/>
    <n v="44.19"/>
    <x v="3"/>
    <n v="27.51"/>
    <n v="318.16800000000001"/>
    <n v="220.08"/>
    <n v="98.087999999999994"/>
    <n v="0.30828996002112091"/>
    <n v="8"/>
    <n v="5"/>
  </r>
  <r>
    <x v="153"/>
    <x v="121"/>
    <s v="2025"/>
    <x v="9"/>
    <s v="Jan 2025"/>
    <x v="0"/>
    <x v="0"/>
    <x v="3"/>
    <x v="1"/>
    <x v="12"/>
    <x v="0"/>
    <x v="3"/>
    <x v="4"/>
    <n v="9"/>
    <n v="37.76"/>
    <x v="3"/>
    <n v="20.56"/>
    <n v="305.85599999999999"/>
    <n v="185.04"/>
    <n v="120.816"/>
    <n v="0.39500941619585689"/>
    <n v="3"/>
    <n v="3"/>
  </r>
  <r>
    <x v="154"/>
    <x v="124"/>
    <s v="2025"/>
    <x v="7"/>
    <s v="Feb 2025"/>
    <x v="1"/>
    <x v="3"/>
    <x v="7"/>
    <x v="3"/>
    <x v="4"/>
    <x v="1"/>
    <x v="2"/>
    <x v="4"/>
    <n v="13"/>
    <n v="27.78"/>
    <x v="0"/>
    <n v="13.91"/>
    <n v="361.14"/>
    <n v="180.83"/>
    <n v="180.30999999999997"/>
    <n v="0.49928005759539229"/>
    <n v="4"/>
    <n v="4"/>
  </r>
  <r>
    <x v="155"/>
    <x v="68"/>
    <s v="2025"/>
    <x v="7"/>
    <s v="Feb 2025"/>
    <x v="1"/>
    <x v="0"/>
    <x v="0"/>
    <x v="1"/>
    <x v="14"/>
    <x v="2"/>
    <x v="0"/>
    <x v="1"/>
    <n v="3"/>
    <n v="50.5"/>
    <x v="2"/>
    <n v="33.770000000000003"/>
    <n v="143.92499999999998"/>
    <n v="101.31"/>
    <n v="42.614999999999981"/>
    <n v="0.29609171443460125"/>
    <n v="6"/>
    <n v="4"/>
  </r>
  <r>
    <x v="156"/>
    <x v="125"/>
    <s v="2025"/>
    <x v="7"/>
    <s v="Feb 2025"/>
    <x v="2"/>
    <x v="0"/>
    <x v="0"/>
    <x v="3"/>
    <x v="9"/>
    <x v="0"/>
    <x v="3"/>
    <x v="0"/>
    <n v="20"/>
    <n v="10.45"/>
    <x v="4"/>
    <n v="4.2699999999999996"/>
    <n v="177.65"/>
    <n v="85.399999999999991"/>
    <n v="92.250000000000014"/>
    <n v="0.51927948212777941"/>
    <n v="1"/>
    <n v="5"/>
  </r>
  <r>
    <x v="157"/>
    <x v="126"/>
    <s v="2025"/>
    <x v="5"/>
    <s v="Oct 2025"/>
    <x v="0"/>
    <x v="3"/>
    <x v="6"/>
    <x v="2"/>
    <x v="11"/>
    <x v="0"/>
    <x v="2"/>
    <x v="1"/>
    <n v="19"/>
    <n v="46.7"/>
    <x v="0"/>
    <n v="29.15"/>
    <n v="887.30000000000007"/>
    <n v="553.85"/>
    <n v="333.45000000000005"/>
    <n v="0.37580299785867238"/>
    <n v="2"/>
    <n v="4"/>
  </r>
  <r>
    <x v="158"/>
    <x v="127"/>
    <s v="2025"/>
    <x v="11"/>
    <s v="Jun 2025"/>
    <x v="0"/>
    <x v="0"/>
    <x v="0"/>
    <x v="1"/>
    <x v="12"/>
    <x v="0"/>
    <x v="2"/>
    <x v="5"/>
    <n v="1"/>
    <n v="36.380000000000003"/>
    <x v="2"/>
    <n v="20.91"/>
    <n v="34.561"/>
    <n v="20.91"/>
    <n v="13.651"/>
    <n v="0.39498278406296111"/>
    <n v="4"/>
    <n v="4"/>
  </r>
  <r>
    <x v="159"/>
    <x v="128"/>
    <s v="2025"/>
    <x v="1"/>
    <s v="Jul 2025"/>
    <x v="0"/>
    <x v="1"/>
    <x v="1"/>
    <x v="0"/>
    <x v="15"/>
    <x v="0"/>
    <x v="1"/>
    <x v="1"/>
    <n v="2"/>
    <n v="160.66"/>
    <x v="3"/>
    <n v="108.64"/>
    <n v="289.18799999999999"/>
    <n v="217.28"/>
    <n v="71.907999999999987"/>
    <n v="0.24865485428164374"/>
    <n v="3"/>
    <n v="5"/>
  </r>
  <r>
    <x v="160"/>
    <x v="129"/>
    <s v="2025"/>
    <x v="11"/>
    <s v="Jun 2025"/>
    <x v="0"/>
    <x v="2"/>
    <x v="4"/>
    <x v="3"/>
    <x v="4"/>
    <x v="0"/>
    <x v="0"/>
    <x v="3"/>
    <n v="4"/>
    <n v="23.53"/>
    <x v="2"/>
    <n v="13.89"/>
    <n v="89.414000000000001"/>
    <n v="55.56"/>
    <n v="33.853999999999999"/>
    <n v="0.37862079763795375"/>
    <n v="7"/>
    <n v="3"/>
  </r>
  <r>
    <x v="161"/>
    <x v="130"/>
    <s v="2025"/>
    <x v="7"/>
    <s v="Feb 2025"/>
    <x v="1"/>
    <x v="2"/>
    <x v="8"/>
    <x v="3"/>
    <x v="4"/>
    <x v="1"/>
    <x v="2"/>
    <x v="2"/>
    <n v="4"/>
    <n v="26.49"/>
    <x v="1"/>
    <n v="14.13"/>
    <n v="84.768000000000001"/>
    <n v="56.52"/>
    <n v="28.247999999999998"/>
    <n v="0.33323895809739523"/>
    <n v="4"/>
    <n v="5"/>
  </r>
  <r>
    <x v="162"/>
    <x v="131"/>
    <s v="2025"/>
    <x v="10"/>
    <s v="Mar 2025"/>
    <x v="1"/>
    <x v="1"/>
    <x v="1"/>
    <x v="3"/>
    <x v="4"/>
    <x v="0"/>
    <x v="1"/>
    <x v="2"/>
    <n v="10"/>
    <n v="24.82"/>
    <x v="0"/>
    <n v="13.96"/>
    <n v="248.2"/>
    <n v="139.60000000000002"/>
    <n v="108.59999999999997"/>
    <n v="0.43755036261079761"/>
    <n v="5"/>
    <n v="5"/>
  </r>
  <r>
    <x v="163"/>
    <x v="132"/>
    <s v="2025"/>
    <x v="0"/>
    <s v="Nov 2025"/>
    <x v="1"/>
    <x v="1"/>
    <x v="5"/>
    <x v="0"/>
    <x v="15"/>
    <x v="0"/>
    <x v="2"/>
    <x v="5"/>
    <n v="7"/>
    <n v="188.46"/>
    <x v="0"/>
    <n v="111.86"/>
    <n v="1319.22"/>
    <n v="783.02"/>
    <n v="536.20000000000005"/>
    <n v="0.40645229756977613"/>
    <n v="3"/>
    <n v="4"/>
  </r>
  <r>
    <x v="164"/>
    <x v="133"/>
    <s v="2025"/>
    <x v="0"/>
    <s v="Nov 2025"/>
    <x v="1"/>
    <x v="3"/>
    <x v="9"/>
    <x v="1"/>
    <x v="14"/>
    <x v="1"/>
    <x v="2"/>
    <x v="0"/>
    <n v="4"/>
    <n v="53.44"/>
    <x v="3"/>
    <n v="30.88"/>
    <n v="192.38399999999999"/>
    <n v="123.52"/>
    <n v="68.86399999999999"/>
    <n v="0.35795076513639384"/>
    <n v="6"/>
    <n v="3"/>
  </r>
  <r>
    <x v="165"/>
    <x v="77"/>
    <s v="2025"/>
    <x v="5"/>
    <s v="Oct 2025"/>
    <x v="0"/>
    <x v="3"/>
    <x v="6"/>
    <x v="2"/>
    <x v="5"/>
    <x v="2"/>
    <x v="2"/>
    <x v="1"/>
    <n v="8"/>
    <n v="64.77"/>
    <x v="3"/>
    <n v="36.729999999999997"/>
    <n v="466.34399999999999"/>
    <n v="293.83999999999997"/>
    <n v="172.50400000000002"/>
    <n v="0.36990719297342739"/>
    <n v="7"/>
    <n v="5"/>
  </r>
  <r>
    <x v="166"/>
    <x v="134"/>
    <s v="2025"/>
    <x v="10"/>
    <s v="Mar 2025"/>
    <x v="0"/>
    <x v="2"/>
    <x v="4"/>
    <x v="3"/>
    <x v="10"/>
    <x v="2"/>
    <x v="0"/>
    <x v="2"/>
    <n v="21"/>
    <n v="18.100000000000001"/>
    <x v="2"/>
    <n v="9.84"/>
    <n v="361.09500000000003"/>
    <n v="206.64"/>
    <n v="154.45500000000004"/>
    <n v="0.4277406222739169"/>
    <n v="7"/>
    <n v="4"/>
  </r>
  <r>
    <x v="167"/>
    <x v="135"/>
    <s v="2025"/>
    <x v="1"/>
    <s v="Jul 2025"/>
    <x v="0"/>
    <x v="0"/>
    <x v="0"/>
    <x v="0"/>
    <x v="3"/>
    <x v="0"/>
    <x v="2"/>
    <x v="5"/>
    <n v="7"/>
    <n v="129.26"/>
    <x v="0"/>
    <n v="84.22"/>
    <n v="904.81999999999994"/>
    <n v="589.54"/>
    <n v="315.27999999999997"/>
    <n v="0.34844499458455824"/>
    <n v="9"/>
    <n v="4"/>
  </r>
  <r>
    <x v="168"/>
    <x v="136"/>
    <s v="2025"/>
    <x v="2"/>
    <s v="Dec 2025"/>
    <x v="0"/>
    <x v="3"/>
    <x v="9"/>
    <x v="1"/>
    <x v="14"/>
    <x v="2"/>
    <x v="1"/>
    <x v="5"/>
    <n v="1"/>
    <n v="55.34"/>
    <x v="4"/>
    <n v="30.95"/>
    <n v="47.039000000000001"/>
    <n v="30.95"/>
    <n v="16.089000000000002"/>
    <n v="0.34203533238376671"/>
    <n v="2"/>
    <n v="3"/>
  </r>
  <r>
    <x v="169"/>
    <x v="137"/>
    <s v="2025"/>
    <x v="10"/>
    <s v="Mar 2025"/>
    <x v="1"/>
    <x v="2"/>
    <x v="11"/>
    <x v="1"/>
    <x v="7"/>
    <x v="2"/>
    <x v="0"/>
    <x v="2"/>
    <n v="12"/>
    <n v="47.4"/>
    <x v="0"/>
    <n v="26.22"/>
    <n v="568.79999999999995"/>
    <n v="314.64"/>
    <n v="254.15999999999997"/>
    <n v="0.44683544303797468"/>
    <n v="2"/>
    <n v="3"/>
  </r>
  <r>
    <x v="170"/>
    <x v="138"/>
    <s v="2025"/>
    <x v="11"/>
    <s v="Jun 2025"/>
    <x v="0"/>
    <x v="0"/>
    <x v="3"/>
    <x v="2"/>
    <x v="5"/>
    <x v="2"/>
    <x v="3"/>
    <x v="0"/>
    <n v="15"/>
    <n v="72.209999999999994"/>
    <x v="2"/>
    <n v="36.369999999999997"/>
    <n v="1028.9924999999998"/>
    <n v="545.54999999999995"/>
    <n v="483.44249999999988"/>
    <n v="0.46982120860939214"/>
    <n v="3"/>
    <n v="4"/>
  </r>
  <r>
    <x v="171"/>
    <x v="81"/>
    <s v="2025"/>
    <x v="2"/>
    <s v="Dec 2025"/>
    <x v="1"/>
    <x v="1"/>
    <x v="10"/>
    <x v="3"/>
    <x v="10"/>
    <x v="0"/>
    <x v="0"/>
    <x v="1"/>
    <n v="8"/>
    <n v="17.010000000000002"/>
    <x v="3"/>
    <n v="10.4"/>
    <n v="122.47200000000001"/>
    <n v="83.2"/>
    <n v="39.272000000000006"/>
    <n v="0.32066104905611081"/>
    <n v="2"/>
    <n v="5"/>
  </r>
  <r>
    <x v="172"/>
    <x v="139"/>
    <s v="2025"/>
    <x v="5"/>
    <s v="Oct 2025"/>
    <x v="0"/>
    <x v="3"/>
    <x v="9"/>
    <x v="1"/>
    <x v="14"/>
    <x v="0"/>
    <x v="2"/>
    <x v="0"/>
    <n v="11"/>
    <n v="53.29"/>
    <x v="2"/>
    <n v="31.43"/>
    <n v="556.88049999999987"/>
    <n v="345.73"/>
    <n v="211.15049999999985"/>
    <n v="0.37916662551480956"/>
    <n v="2"/>
    <n v="4"/>
  </r>
  <r>
    <x v="173"/>
    <x v="140"/>
    <s v="2025"/>
    <x v="6"/>
    <s v="Aug 2025"/>
    <x v="0"/>
    <x v="3"/>
    <x v="6"/>
    <x v="0"/>
    <x v="3"/>
    <x v="1"/>
    <x v="1"/>
    <x v="5"/>
    <n v="2"/>
    <n v="133.35"/>
    <x v="2"/>
    <n v="84.48"/>
    <n v="253.36499999999998"/>
    <n v="168.96"/>
    <n v="84.404999999999973"/>
    <n v="0.33313598958024976"/>
    <n v="3"/>
    <n v="4"/>
  </r>
  <r>
    <x v="174"/>
    <x v="32"/>
    <s v="2025"/>
    <x v="6"/>
    <s v="Aug 2025"/>
    <x v="1"/>
    <x v="3"/>
    <x v="6"/>
    <x v="1"/>
    <x v="7"/>
    <x v="2"/>
    <x v="1"/>
    <x v="0"/>
    <n v="3"/>
    <n v="45.35"/>
    <x v="0"/>
    <n v="25.45"/>
    <n v="136.05000000000001"/>
    <n v="76.349999999999994"/>
    <n v="59.700000000000017"/>
    <n v="0.43880926130099235"/>
    <n v="8"/>
    <n v="5"/>
  </r>
  <r>
    <x v="175"/>
    <x v="141"/>
    <s v="2025"/>
    <x v="1"/>
    <s v="Jul 2025"/>
    <x v="1"/>
    <x v="0"/>
    <x v="2"/>
    <x v="3"/>
    <x v="9"/>
    <x v="1"/>
    <x v="2"/>
    <x v="2"/>
    <n v="23"/>
    <n v="10.08"/>
    <x v="2"/>
    <n v="4.6500000000000004"/>
    <n v="220.24799999999999"/>
    <n v="106.95"/>
    <n v="113.29799999999999"/>
    <n v="0.51441102756892232"/>
    <n v="3"/>
    <n v="3"/>
  </r>
  <r>
    <x v="176"/>
    <x v="142"/>
    <s v="2025"/>
    <x v="9"/>
    <s v="Jan 2025"/>
    <x v="1"/>
    <x v="3"/>
    <x v="9"/>
    <x v="3"/>
    <x v="10"/>
    <x v="2"/>
    <x v="2"/>
    <x v="0"/>
    <n v="25"/>
    <n v="19.260000000000002"/>
    <x v="2"/>
    <n v="9.99"/>
    <n v="457.42500000000001"/>
    <n v="249.75"/>
    <n v="207.67500000000001"/>
    <n v="0.45400885391047713"/>
    <n v="2"/>
    <n v="4"/>
  </r>
  <r>
    <x v="177"/>
    <x v="117"/>
    <s v="2025"/>
    <x v="5"/>
    <s v="Oct 2025"/>
    <x v="1"/>
    <x v="2"/>
    <x v="8"/>
    <x v="2"/>
    <x v="11"/>
    <x v="2"/>
    <x v="1"/>
    <x v="2"/>
    <n v="5"/>
    <n v="50.97"/>
    <x v="0"/>
    <n v="28.69"/>
    <n v="254.85"/>
    <n v="143.45000000000002"/>
    <n v="111.39999999999998"/>
    <n v="0.43711987443594263"/>
    <n v="1"/>
    <n v="4"/>
  </r>
  <r>
    <x v="178"/>
    <x v="143"/>
    <s v="2025"/>
    <x v="11"/>
    <s v="Jun 2025"/>
    <x v="1"/>
    <x v="0"/>
    <x v="2"/>
    <x v="2"/>
    <x v="11"/>
    <x v="2"/>
    <x v="3"/>
    <x v="1"/>
    <n v="21"/>
    <n v="49.88"/>
    <x v="0"/>
    <n v="26.5"/>
    <n v="1047.48"/>
    <n v="556.5"/>
    <n v="490.98"/>
    <n v="0.46872493985565356"/>
    <n v="4"/>
    <n v="5"/>
  </r>
  <r>
    <x v="179"/>
    <x v="144"/>
    <s v="2025"/>
    <x v="9"/>
    <s v="Jan 2025"/>
    <x v="0"/>
    <x v="2"/>
    <x v="8"/>
    <x v="1"/>
    <x v="7"/>
    <x v="0"/>
    <x v="3"/>
    <x v="0"/>
    <n v="5"/>
    <n v="49.93"/>
    <x v="4"/>
    <n v="27.06"/>
    <n v="212.20249999999999"/>
    <n v="135.29999999999998"/>
    <n v="76.902500000000003"/>
    <n v="0.36240147971866499"/>
    <n v="2"/>
    <n v="4"/>
  </r>
  <r>
    <x v="180"/>
    <x v="22"/>
    <s v="2025"/>
    <x v="1"/>
    <s v="Jul 2025"/>
    <x v="1"/>
    <x v="0"/>
    <x v="2"/>
    <x v="2"/>
    <x v="5"/>
    <x v="2"/>
    <x v="1"/>
    <x v="1"/>
    <n v="12"/>
    <n v="70.349999999999994"/>
    <x v="3"/>
    <n v="39.590000000000003"/>
    <n v="759.78"/>
    <n v="475.08000000000004"/>
    <n v="284.69999999999993"/>
    <n v="0.37471373292268806"/>
    <n v="8"/>
    <n v="4"/>
  </r>
  <r>
    <x v="181"/>
    <x v="145"/>
    <s v="2025"/>
    <x v="0"/>
    <s v="Nov 2025"/>
    <x v="0"/>
    <x v="2"/>
    <x v="8"/>
    <x v="1"/>
    <x v="14"/>
    <x v="0"/>
    <x v="0"/>
    <x v="2"/>
    <n v="9"/>
    <n v="58.57"/>
    <x v="4"/>
    <n v="33"/>
    <n v="448.06049999999999"/>
    <n v="297"/>
    <n v="151.06049999999999"/>
    <n v="0.33714308670369292"/>
    <n v="8"/>
    <n v="5"/>
  </r>
  <r>
    <x v="182"/>
    <x v="113"/>
    <s v="2025"/>
    <x v="11"/>
    <s v="Jun 2025"/>
    <x v="0"/>
    <x v="0"/>
    <x v="3"/>
    <x v="3"/>
    <x v="9"/>
    <x v="2"/>
    <x v="0"/>
    <x v="0"/>
    <n v="14"/>
    <n v="9.48"/>
    <x v="0"/>
    <n v="4.45"/>
    <n v="132.72"/>
    <n v="62.300000000000004"/>
    <n v="70.419999999999987"/>
    <n v="0.53059071729957796"/>
    <n v="5"/>
    <n v="4"/>
  </r>
  <r>
    <x v="183"/>
    <x v="74"/>
    <s v="2025"/>
    <x v="3"/>
    <s v="May 2025"/>
    <x v="2"/>
    <x v="2"/>
    <x v="8"/>
    <x v="1"/>
    <x v="14"/>
    <x v="2"/>
    <x v="0"/>
    <x v="4"/>
    <n v="2"/>
    <n v="57.08"/>
    <x v="0"/>
    <n v="33.72"/>
    <n v="114.16"/>
    <n v="67.44"/>
    <n v="46.72"/>
    <n v="0.40925017519271201"/>
    <n v="3"/>
    <n v="4"/>
  </r>
  <r>
    <x v="184"/>
    <x v="146"/>
    <s v="2025"/>
    <x v="9"/>
    <s v="Jan 2025"/>
    <x v="1"/>
    <x v="1"/>
    <x v="1"/>
    <x v="2"/>
    <x v="5"/>
    <x v="1"/>
    <x v="3"/>
    <x v="4"/>
    <n v="22"/>
    <n v="63.65"/>
    <x v="3"/>
    <n v="35.46"/>
    <n v="1260.27"/>
    <n v="780.12"/>
    <n v="480.15"/>
    <n v="0.3809897879025923"/>
    <n v="3"/>
    <n v="3"/>
  </r>
  <r>
    <x v="185"/>
    <x v="132"/>
    <s v="2025"/>
    <x v="0"/>
    <s v="Nov 2025"/>
    <x v="1"/>
    <x v="2"/>
    <x v="8"/>
    <x v="0"/>
    <x v="0"/>
    <x v="0"/>
    <x v="0"/>
    <x v="4"/>
    <n v="4"/>
    <n v="261.27"/>
    <x v="0"/>
    <n v="160.01"/>
    <n v="1045.08"/>
    <n v="640.04"/>
    <n v="405.03999999999996"/>
    <n v="0.38756841581505719"/>
    <n v="8"/>
    <n v="3"/>
  </r>
  <r>
    <x v="186"/>
    <x v="14"/>
    <s v="2025"/>
    <x v="2"/>
    <s v="Dec 2025"/>
    <x v="1"/>
    <x v="2"/>
    <x v="4"/>
    <x v="2"/>
    <x v="13"/>
    <x v="2"/>
    <x v="1"/>
    <x v="2"/>
    <n v="4"/>
    <n v="42.43"/>
    <x v="0"/>
    <n v="22.47"/>
    <n v="169.72"/>
    <n v="89.88"/>
    <n v="79.84"/>
    <n v="0.4704218713174641"/>
    <n v="5"/>
    <n v="4"/>
  </r>
  <r>
    <x v="187"/>
    <x v="147"/>
    <s v="2025"/>
    <x v="10"/>
    <s v="Mar 2025"/>
    <x v="1"/>
    <x v="3"/>
    <x v="7"/>
    <x v="1"/>
    <x v="12"/>
    <x v="2"/>
    <x v="3"/>
    <x v="1"/>
    <n v="4"/>
    <n v="36.340000000000003"/>
    <x v="2"/>
    <n v="18.88"/>
    <n v="138.09200000000001"/>
    <n v="75.52"/>
    <n v="62.572000000000017"/>
    <n v="0.45311821104770739"/>
    <n v="8"/>
    <n v="5"/>
  </r>
  <r>
    <x v="188"/>
    <x v="39"/>
    <s v="2025"/>
    <x v="7"/>
    <s v="Feb 2025"/>
    <x v="1"/>
    <x v="0"/>
    <x v="0"/>
    <x v="0"/>
    <x v="15"/>
    <x v="0"/>
    <x v="1"/>
    <x v="3"/>
    <n v="5"/>
    <n v="182.32"/>
    <x v="2"/>
    <n v="110.37"/>
    <n v="866.01999999999987"/>
    <n v="551.85"/>
    <n v="314.16999999999985"/>
    <n v="0.36277453176600988"/>
    <n v="5"/>
    <n v="5"/>
  </r>
  <r>
    <x v="189"/>
    <x v="148"/>
    <s v="2025"/>
    <x v="2"/>
    <s v="Dec 2025"/>
    <x v="1"/>
    <x v="0"/>
    <x v="3"/>
    <x v="2"/>
    <x v="5"/>
    <x v="2"/>
    <x v="2"/>
    <x v="5"/>
    <n v="22"/>
    <n v="59.28"/>
    <x v="1"/>
    <n v="40.42"/>
    <n v="1043.3280000000002"/>
    <n v="889.24"/>
    <n v="154.08800000000019"/>
    <n v="0.14768893387314455"/>
    <n v="8"/>
    <n v="4"/>
  </r>
  <r>
    <x v="190"/>
    <x v="9"/>
    <s v="2025"/>
    <x v="3"/>
    <s v="May 2025"/>
    <x v="2"/>
    <x v="1"/>
    <x v="5"/>
    <x v="0"/>
    <x v="8"/>
    <x v="1"/>
    <x v="1"/>
    <x v="2"/>
    <n v="7"/>
    <n v="117.65"/>
    <x v="3"/>
    <n v="77.2"/>
    <n v="741.19500000000005"/>
    <n v="540.4"/>
    <n v="200.79500000000007"/>
    <n v="0.27090711621098368"/>
    <n v="2"/>
    <n v="3"/>
  </r>
  <r>
    <x v="191"/>
    <x v="92"/>
    <s v="2025"/>
    <x v="7"/>
    <s v="Feb 2025"/>
    <x v="1"/>
    <x v="0"/>
    <x v="2"/>
    <x v="3"/>
    <x v="6"/>
    <x v="1"/>
    <x v="3"/>
    <x v="1"/>
    <n v="24"/>
    <n v="12.12"/>
    <x v="3"/>
    <n v="6.41"/>
    <n v="261.79200000000003"/>
    <n v="153.84"/>
    <n v="107.95200000000003"/>
    <n v="0.4123579024569124"/>
    <n v="2"/>
    <n v="5"/>
  </r>
  <r>
    <x v="192"/>
    <x v="149"/>
    <s v="2025"/>
    <x v="5"/>
    <s v="Oct 2025"/>
    <x v="1"/>
    <x v="3"/>
    <x v="9"/>
    <x v="3"/>
    <x v="6"/>
    <x v="2"/>
    <x v="1"/>
    <x v="0"/>
    <n v="12"/>
    <n v="11.83"/>
    <x v="3"/>
    <n v="6.64"/>
    <n v="127.76400000000001"/>
    <n v="79.679999999999993"/>
    <n v="48.084000000000017"/>
    <n v="0.3763501455809149"/>
    <n v="2"/>
    <n v="4"/>
  </r>
  <r>
    <x v="193"/>
    <x v="150"/>
    <s v="2025"/>
    <x v="6"/>
    <s v="Aug 2025"/>
    <x v="0"/>
    <x v="3"/>
    <x v="7"/>
    <x v="3"/>
    <x v="9"/>
    <x v="0"/>
    <x v="0"/>
    <x v="5"/>
    <n v="23"/>
    <n v="10.63"/>
    <x v="0"/>
    <n v="4.67"/>
    <n v="244.49"/>
    <n v="107.41"/>
    <n v="137.08000000000001"/>
    <n v="0.56067732831608663"/>
    <n v="3"/>
    <n v="5"/>
  </r>
  <r>
    <x v="194"/>
    <x v="151"/>
    <s v="2025"/>
    <x v="10"/>
    <s v="Mar 2025"/>
    <x v="1"/>
    <x v="1"/>
    <x v="10"/>
    <x v="1"/>
    <x v="1"/>
    <x v="0"/>
    <x v="3"/>
    <x v="1"/>
    <n v="2"/>
    <n v="23.53"/>
    <x v="3"/>
    <n v="10.17"/>
    <n v="42.354000000000006"/>
    <n v="20.34"/>
    <n v="22.014000000000006"/>
    <n v="0.51976200594985134"/>
    <n v="5"/>
    <n v="4"/>
  </r>
  <r>
    <x v="195"/>
    <x v="152"/>
    <s v="2025"/>
    <x v="3"/>
    <s v="May 2025"/>
    <x v="2"/>
    <x v="0"/>
    <x v="2"/>
    <x v="1"/>
    <x v="1"/>
    <x v="0"/>
    <x v="1"/>
    <x v="5"/>
    <n v="3"/>
    <n v="21.03"/>
    <x v="2"/>
    <n v="10.3"/>
    <n v="59.935499999999998"/>
    <n v="30.900000000000002"/>
    <n v="29.035499999999995"/>
    <n v="0.48444577921265353"/>
    <n v="2"/>
    <n v="4"/>
  </r>
  <r>
    <x v="196"/>
    <x v="15"/>
    <s v="2025"/>
    <x v="8"/>
    <s v="Sep 2025"/>
    <x v="1"/>
    <x v="0"/>
    <x v="0"/>
    <x v="2"/>
    <x v="11"/>
    <x v="0"/>
    <x v="2"/>
    <x v="3"/>
    <n v="7"/>
    <n v="53.03"/>
    <x v="2"/>
    <n v="29.6"/>
    <n v="352.64950000000005"/>
    <n v="207.20000000000002"/>
    <n v="145.44950000000003"/>
    <n v="0.41244777037823677"/>
    <n v="7"/>
    <n v="4"/>
  </r>
  <r>
    <x v="197"/>
    <x v="43"/>
    <s v="2025"/>
    <x v="3"/>
    <s v="May 2025"/>
    <x v="1"/>
    <x v="1"/>
    <x v="5"/>
    <x v="1"/>
    <x v="12"/>
    <x v="2"/>
    <x v="0"/>
    <x v="3"/>
    <n v="4"/>
    <n v="37.69"/>
    <x v="1"/>
    <n v="21.54"/>
    <n v="120.608"/>
    <n v="86.16"/>
    <n v="34.448000000000008"/>
    <n v="0.28561952772618737"/>
    <n v="2"/>
    <n v="5"/>
  </r>
  <r>
    <x v="198"/>
    <x v="45"/>
    <s v="2025"/>
    <x v="3"/>
    <s v="May 2025"/>
    <x v="1"/>
    <x v="2"/>
    <x v="11"/>
    <x v="3"/>
    <x v="9"/>
    <x v="0"/>
    <x v="3"/>
    <x v="1"/>
    <n v="21"/>
    <n v="9.5299999999999994"/>
    <x v="1"/>
    <n v="4.41"/>
    <n v="160.10400000000001"/>
    <n v="92.61"/>
    <n v="67.494000000000014"/>
    <n v="0.42156348373557195"/>
    <n v="4"/>
    <n v="5"/>
  </r>
  <r>
    <x v="199"/>
    <x v="153"/>
    <s v="2025"/>
    <x v="5"/>
    <s v="Oct 2025"/>
    <x v="1"/>
    <x v="3"/>
    <x v="7"/>
    <x v="3"/>
    <x v="9"/>
    <x v="0"/>
    <x v="0"/>
    <x v="5"/>
    <n v="2"/>
    <n v="10.67"/>
    <x v="3"/>
    <n v="4.41"/>
    <n v="19.206"/>
    <n v="8.82"/>
    <n v="10.385999999999999"/>
    <n v="0.54076850984067482"/>
    <n v="5"/>
    <n v="3"/>
  </r>
  <r>
    <x v="200"/>
    <x v="154"/>
    <s v="2025"/>
    <x v="8"/>
    <s v="Sep 2025"/>
    <x v="1"/>
    <x v="3"/>
    <x v="9"/>
    <x v="1"/>
    <x v="12"/>
    <x v="1"/>
    <x v="3"/>
    <x v="4"/>
    <n v="1"/>
    <n v="38.590000000000003"/>
    <x v="2"/>
    <n v="21.27"/>
    <n v="36.660499999999999"/>
    <n v="21.27"/>
    <n v="15.390499999999999"/>
    <n v="0.41981151375458597"/>
    <n v="6"/>
    <n v="4"/>
  </r>
  <r>
    <x v="201"/>
    <x v="155"/>
    <s v="2025"/>
    <x v="7"/>
    <s v="Feb 2025"/>
    <x v="0"/>
    <x v="0"/>
    <x v="3"/>
    <x v="3"/>
    <x v="9"/>
    <x v="0"/>
    <x v="2"/>
    <x v="1"/>
    <n v="6"/>
    <n v="9.52"/>
    <x v="0"/>
    <n v="4.33"/>
    <n v="57.12"/>
    <n v="25.98"/>
    <n v="31.139999999999997"/>
    <n v="0.54516806722689071"/>
    <n v="7"/>
    <n v="5"/>
  </r>
  <r>
    <x v="202"/>
    <x v="113"/>
    <s v="2025"/>
    <x v="11"/>
    <s v="Jun 2025"/>
    <x v="1"/>
    <x v="2"/>
    <x v="11"/>
    <x v="3"/>
    <x v="6"/>
    <x v="1"/>
    <x v="0"/>
    <x v="3"/>
    <n v="5"/>
    <n v="11.23"/>
    <x v="2"/>
    <n v="6.46"/>
    <n v="53.342500000000001"/>
    <n v="32.299999999999997"/>
    <n v="21.042500000000004"/>
    <n v="0.39447907390917192"/>
    <n v="9"/>
    <n v="4"/>
  </r>
  <r>
    <x v="203"/>
    <x v="44"/>
    <s v="2025"/>
    <x v="4"/>
    <s v="Apr 2025"/>
    <x v="0"/>
    <x v="1"/>
    <x v="10"/>
    <x v="1"/>
    <x v="12"/>
    <x v="0"/>
    <x v="3"/>
    <x v="1"/>
    <n v="12"/>
    <n v="36.15"/>
    <x v="4"/>
    <n v="19.09"/>
    <n v="368.72999999999996"/>
    <n v="229.07999999999998"/>
    <n v="139.64999999999998"/>
    <n v="0.37873240582540069"/>
    <n v="3"/>
    <n v="3"/>
  </r>
  <r>
    <x v="204"/>
    <x v="43"/>
    <s v="2025"/>
    <x v="3"/>
    <s v="May 2025"/>
    <x v="2"/>
    <x v="2"/>
    <x v="11"/>
    <x v="1"/>
    <x v="1"/>
    <x v="0"/>
    <x v="0"/>
    <x v="2"/>
    <n v="8"/>
    <n v="22.49"/>
    <x v="0"/>
    <n v="11.09"/>
    <n v="179.92"/>
    <n v="88.72"/>
    <n v="91.199999999999989"/>
    <n v="0.50689195197865711"/>
    <n v="2"/>
    <n v="5"/>
  </r>
  <r>
    <x v="205"/>
    <x v="134"/>
    <s v="2025"/>
    <x v="10"/>
    <s v="Mar 2025"/>
    <x v="0"/>
    <x v="0"/>
    <x v="0"/>
    <x v="3"/>
    <x v="10"/>
    <x v="0"/>
    <x v="3"/>
    <x v="1"/>
    <n v="22"/>
    <n v="19.91"/>
    <x v="2"/>
    <n v="9.33"/>
    <n v="416.11899999999997"/>
    <n v="205.26"/>
    <n v="210.85899999999998"/>
    <n v="0.5067276428137143"/>
    <n v="2"/>
    <n v="3"/>
  </r>
  <r>
    <x v="206"/>
    <x v="156"/>
    <s v="2025"/>
    <x v="7"/>
    <s v="Feb 2025"/>
    <x v="0"/>
    <x v="3"/>
    <x v="6"/>
    <x v="1"/>
    <x v="7"/>
    <x v="0"/>
    <x v="3"/>
    <x v="4"/>
    <n v="1"/>
    <n v="49.83"/>
    <x v="4"/>
    <n v="25.06"/>
    <n v="42.355499999999999"/>
    <n v="25.06"/>
    <n v="17.295500000000001"/>
    <n v="0.40834130160191712"/>
    <n v="7"/>
    <n v="5"/>
  </r>
  <r>
    <x v="207"/>
    <x v="61"/>
    <s v="2025"/>
    <x v="1"/>
    <s v="Jul 2025"/>
    <x v="1"/>
    <x v="1"/>
    <x v="1"/>
    <x v="1"/>
    <x v="14"/>
    <x v="0"/>
    <x v="1"/>
    <x v="5"/>
    <n v="5"/>
    <n v="54.9"/>
    <x v="2"/>
    <n v="30.2"/>
    <n v="260.77499999999998"/>
    <n v="151"/>
    <n v="109.77499999999998"/>
    <n v="0.42095676349343297"/>
    <n v="4"/>
    <n v="5"/>
  </r>
  <r>
    <x v="208"/>
    <x v="157"/>
    <s v="2025"/>
    <x v="8"/>
    <s v="Sep 2025"/>
    <x v="1"/>
    <x v="1"/>
    <x v="5"/>
    <x v="1"/>
    <x v="12"/>
    <x v="0"/>
    <x v="1"/>
    <x v="1"/>
    <n v="9"/>
    <n v="33.42"/>
    <x v="2"/>
    <n v="21.58"/>
    <n v="285.74100000000004"/>
    <n v="194.21999999999997"/>
    <n v="91.521000000000072"/>
    <n v="0.32029355255283654"/>
    <n v="1"/>
    <n v="5"/>
  </r>
  <r>
    <x v="209"/>
    <x v="141"/>
    <s v="2025"/>
    <x v="1"/>
    <s v="Jul 2025"/>
    <x v="1"/>
    <x v="1"/>
    <x v="5"/>
    <x v="2"/>
    <x v="2"/>
    <x v="1"/>
    <x v="2"/>
    <x v="5"/>
    <n v="7"/>
    <n v="67.930000000000007"/>
    <x v="0"/>
    <n v="45.7"/>
    <n v="475.51000000000005"/>
    <n v="319.90000000000003"/>
    <n v="155.61000000000001"/>
    <n v="0.32724863830413659"/>
    <n v="5"/>
    <n v="3"/>
  </r>
  <r>
    <x v="210"/>
    <x v="115"/>
    <s v="2025"/>
    <x v="6"/>
    <s v="Aug 2025"/>
    <x v="0"/>
    <x v="2"/>
    <x v="8"/>
    <x v="2"/>
    <x v="5"/>
    <x v="0"/>
    <x v="3"/>
    <x v="0"/>
    <n v="25"/>
    <n v="59.3"/>
    <x v="0"/>
    <n v="41.02"/>
    <n v="1482.5"/>
    <n v="1025.5"/>
    <n v="457"/>
    <n v="0.30826306913996626"/>
    <n v="7"/>
    <n v="4"/>
  </r>
  <r>
    <x v="211"/>
    <x v="158"/>
    <s v="2025"/>
    <x v="10"/>
    <s v="Mar 2025"/>
    <x v="1"/>
    <x v="3"/>
    <x v="7"/>
    <x v="0"/>
    <x v="3"/>
    <x v="1"/>
    <x v="3"/>
    <x v="0"/>
    <n v="3"/>
    <n v="143.34"/>
    <x v="1"/>
    <n v="85.51"/>
    <n v="344.01600000000002"/>
    <n v="256.53000000000003"/>
    <n v="87.48599999999999"/>
    <n v="0.25430793916562017"/>
    <n v="8"/>
    <n v="4"/>
  </r>
  <r>
    <x v="212"/>
    <x v="159"/>
    <s v="2025"/>
    <x v="10"/>
    <s v="Mar 2025"/>
    <x v="1"/>
    <x v="1"/>
    <x v="1"/>
    <x v="3"/>
    <x v="10"/>
    <x v="2"/>
    <x v="2"/>
    <x v="4"/>
    <n v="12"/>
    <n v="19.829999999999998"/>
    <x v="0"/>
    <n v="9.52"/>
    <n v="237.95999999999998"/>
    <n v="114.24"/>
    <n v="123.71999999999998"/>
    <n v="0.51991931417044879"/>
    <n v="3"/>
    <n v="5"/>
  </r>
  <r>
    <x v="213"/>
    <x v="160"/>
    <s v="2025"/>
    <x v="11"/>
    <s v="Jun 2025"/>
    <x v="0"/>
    <x v="0"/>
    <x v="0"/>
    <x v="3"/>
    <x v="10"/>
    <x v="2"/>
    <x v="3"/>
    <x v="4"/>
    <n v="13"/>
    <n v="18.989999999999998"/>
    <x v="2"/>
    <n v="10.26"/>
    <n v="234.52649999999997"/>
    <n v="133.38"/>
    <n v="101.14649999999997"/>
    <n v="0.43127962085308053"/>
    <n v="6"/>
    <n v="4"/>
  </r>
  <r>
    <x v="214"/>
    <x v="161"/>
    <s v="2025"/>
    <x v="10"/>
    <s v="Mar 2025"/>
    <x v="1"/>
    <x v="3"/>
    <x v="6"/>
    <x v="2"/>
    <x v="13"/>
    <x v="2"/>
    <x v="3"/>
    <x v="3"/>
    <n v="23"/>
    <n v="41.18"/>
    <x v="0"/>
    <n v="22.75"/>
    <n v="947.14"/>
    <n v="523.25"/>
    <n v="423.89"/>
    <n v="0.44754735308402138"/>
    <n v="5"/>
    <n v="4"/>
  </r>
  <r>
    <x v="215"/>
    <x v="146"/>
    <s v="2025"/>
    <x v="9"/>
    <s v="Jan 2025"/>
    <x v="2"/>
    <x v="1"/>
    <x v="5"/>
    <x v="3"/>
    <x v="4"/>
    <x v="1"/>
    <x v="1"/>
    <x v="1"/>
    <n v="20"/>
    <n v="23.07"/>
    <x v="0"/>
    <n v="13.99"/>
    <n v="461.4"/>
    <n v="279.8"/>
    <n v="181.59999999999997"/>
    <n v="0.39358474208929339"/>
    <n v="2"/>
    <n v="4"/>
  </r>
  <r>
    <x v="216"/>
    <x v="162"/>
    <s v="2025"/>
    <x v="11"/>
    <s v="Jun 2025"/>
    <x v="0"/>
    <x v="3"/>
    <x v="6"/>
    <x v="2"/>
    <x v="11"/>
    <x v="1"/>
    <x v="3"/>
    <x v="2"/>
    <n v="2"/>
    <n v="46"/>
    <x v="0"/>
    <n v="26.88"/>
    <n v="92"/>
    <n v="53.76"/>
    <n v="38.24"/>
    <n v="0.41565217391304349"/>
    <n v="5"/>
    <n v="5"/>
  </r>
  <r>
    <x v="217"/>
    <x v="146"/>
    <s v="2025"/>
    <x v="9"/>
    <s v="Jan 2025"/>
    <x v="2"/>
    <x v="0"/>
    <x v="2"/>
    <x v="1"/>
    <x v="14"/>
    <x v="1"/>
    <x v="2"/>
    <x v="2"/>
    <n v="6"/>
    <n v="56.11"/>
    <x v="2"/>
    <n v="29.96"/>
    <n v="319.82699999999994"/>
    <n v="179.76"/>
    <n v="140.06699999999995"/>
    <n v="0.43794613963173834"/>
    <n v="4"/>
    <n v="4"/>
  </r>
  <r>
    <x v="218"/>
    <x v="78"/>
    <s v="2025"/>
    <x v="7"/>
    <s v="Feb 2025"/>
    <x v="1"/>
    <x v="0"/>
    <x v="2"/>
    <x v="3"/>
    <x v="4"/>
    <x v="1"/>
    <x v="1"/>
    <x v="2"/>
    <n v="7"/>
    <n v="26.53"/>
    <x v="4"/>
    <n v="14.11"/>
    <n v="157.8535"/>
    <n v="98.77"/>
    <n v="59.083500000000001"/>
    <n v="0.37429325292122129"/>
    <n v="2"/>
    <n v="4"/>
  </r>
  <r>
    <x v="219"/>
    <x v="87"/>
    <s v="2025"/>
    <x v="0"/>
    <s v="Nov 2025"/>
    <x v="1"/>
    <x v="1"/>
    <x v="5"/>
    <x v="3"/>
    <x v="10"/>
    <x v="2"/>
    <x v="0"/>
    <x v="4"/>
    <n v="12"/>
    <n v="17.010000000000002"/>
    <x v="3"/>
    <n v="9.5"/>
    <n v="183.708"/>
    <n v="114"/>
    <n v="69.707999999999998"/>
    <n v="0.37944999673394736"/>
    <n v="9"/>
    <n v="4"/>
  </r>
  <r>
    <x v="220"/>
    <x v="45"/>
    <s v="2025"/>
    <x v="3"/>
    <s v="May 2025"/>
    <x v="0"/>
    <x v="2"/>
    <x v="4"/>
    <x v="3"/>
    <x v="9"/>
    <x v="2"/>
    <x v="1"/>
    <x v="4"/>
    <n v="13"/>
    <n v="9.01"/>
    <x v="3"/>
    <n v="4.2"/>
    <n v="105.417"/>
    <n v="54.6"/>
    <n v="50.817"/>
    <n v="0.48205697373288936"/>
    <n v="8"/>
    <n v="4"/>
  </r>
  <r>
    <x v="221"/>
    <x v="163"/>
    <s v="2025"/>
    <x v="9"/>
    <s v="Jan 2025"/>
    <x v="1"/>
    <x v="3"/>
    <x v="7"/>
    <x v="0"/>
    <x v="8"/>
    <x v="2"/>
    <x v="2"/>
    <x v="2"/>
    <n v="8"/>
    <n v="131.62"/>
    <x v="2"/>
    <n v="72.180000000000007"/>
    <n v="1000.312"/>
    <n v="577.44000000000005"/>
    <n v="422.87199999999996"/>
    <n v="0.42274010508721271"/>
    <n v="7"/>
    <n v="4"/>
  </r>
  <r>
    <x v="222"/>
    <x v="57"/>
    <s v="2025"/>
    <x v="1"/>
    <s v="Jul 2025"/>
    <x v="1"/>
    <x v="2"/>
    <x v="4"/>
    <x v="1"/>
    <x v="1"/>
    <x v="0"/>
    <x v="3"/>
    <x v="0"/>
    <n v="1"/>
    <n v="20.53"/>
    <x v="0"/>
    <n v="11.35"/>
    <n v="20.53"/>
    <n v="11.35"/>
    <n v="9.1800000000000015"/>
    <n v="0.44715051144666346"/>
    <n v="6"/>
    <n v="5"/>
  </r>
  <r>
    <x v="223"/>
    <x v="164"/>
    <s v="2025"/>
    <x v="1"/>
    <s v="Jul 2025"/>
    <x v="1"/>
    <x v="3"/>
    <x v="6"/>
    <x v="3"/>
    <x v="9"/>
    <x v="1"/>
    <x v="2"/>
    <x v="0"/>
    <n v="9"/>
    <n v="10.050000000000001"/>
    <x v="4"/>
    <n v="4.2"/>
    <n v="76.882500000000007"/>
    <n v="37.800000000000004"/>
    <n v="39.082500000000003"/>
    <n v="0.50834064969271286"/>
    <n v="1"/>
    <n v="4"/>
  </r>
  <r>
    <x v="224"/>
    <x v="165"/>
    <s v="2025"/>
    <x v="8"/>
    <s v="Sep 2025"/>
    <x v="2"/>
    <x v="3"/>
    <x v="7"/>
    <x v="2"/>
    <x v="13"/>
    <x v="0"/>
    <x v="1"/>
    <x v="3"/>
    <n v="6"/>
    <n v="36.380000000000003"/>
    <x v="3"/>
    <n v="22.38"/>
    <n v="196.45200000000003"/>
    <n v="134.28"/>
    <n v="62.172000000000025"/>
    <n v="0.31647425325270306"/>
    <n v="4"/>
    <n v="5"/>
  </r>
  <r>
    <x v="225"/>
    <x v="166"/>
    <s v="2025"/>
    <x v="0"/>
    <s v="Nov 2025"/>
    <x v="0"/>
    <x v="3"/>
    <x v="6"/>
    <x v="3"/>
    <x v="6"/>
    <x v="0"/>
    <x v="3"/>
    <x v="5"/>
    <n v="18"/>
    <n v="12.01"/>
    <x v="3"/>
    <n v="6.89"/>
    <n v="194.56200000000001"/>
    <n v="124.02"/>
    <n v="70.542000000000016"/>
    <n v="0.36256823017855494"/>
    <n v="9"/>
    <n v="5"/>
  </r>
  <r>
    <x v="226"/>
    <x v="167"/>
    <s v="2025"/>
    <x v="7"/>
    <s v="Feb 2025"/>
    <x v="0"/>
    <x v="1"/>
    <x v="1"/>
    <x v="3"/>
    <x v="6"/>
    <x v="1"/>
    <x v="0"/>
    <x v="5"/>
    <n v="19"/>
    <n v="13.12"/>
    <x v="0"/>
    <n v="6.89"/>
    <n v="249.27999999999997"/>
    <n v="130.91"/>
    <n v="118.36999999999998"/>
    <n v="0.47484756097560971"/>
    <n v="8"/>
    <n v="5"/>
  </r>
  <r>
    <x v="227"/>
    <x v="12"/>
    <s v="2025"/>
    <x v="6"/>
    <s v="Aug 2025"/>
    <x v="0"/>
    <x v="0"/>
    <x v="0"/>
    <x v="3"/>
    <x v="10"/>
    <x v="2"/>
    <x v="2"/>
    <x v="4"/>
    <n v="14"/>
    <n v="19.72"/>
    <x v="0"/>
    <n v="9.73"/>
    <n v="276.08"/>
    <n v="136.22"/>
    <n v="139.85999999999999"/>
    <n v="0.5065922920892495"/>
    <n v="8"/>
    <n v="5"/>
  </r>
  <r>
    <x v="228"/>
    <x v="168"/>
    <s v="2025"/>
    <x v="1"/>
    <s v="Jul 2025"/>
    <x v="0"/>
    <x v="0"/>
    <x v="2"/>
    <x v="2"/>
    <x v="2"/>
    <x v="0"/>
    <x v="0"/>
    <x v="3"/>
    <n v="6"/>
    <n v="72.459999999999994"/>
    <x v="3"/>
    <n v="46.75"/>
    <n v="391.28399999999999"/>
    <n v="280.5"/>
    <n v="110.78399999999999"/>
    <n v="0.28312938939491517"/>
    <n v="6"/>
    <n v="4"/>
  </r>
  <r>
    <x v="229"/>
    <x v="169"/>
    <s v="2025"/>
    <x v="6"/>
    <s v="Aug 2025"/>
    <x v="0"/>
    <x v="0"/>
    <x v="0"/>
    <x v="1"/>
    <x v="14"/>
    <x v="2"/>
    <x v="3"/>
    <x v="4"/>
    <n v="9"/>
    <n v="59.08"/>
    <x v="3"/>
    <n v="29.78"/>
    <n v="478.54800000000006"/>
    <n v="268.02"/>
    <n v="210.52800000000008"/>
    <n v="0.43993079064169122"/>
    <n v="7"/>
    <n v="4"/>
  </r>
  <r>
    <x v="230"/>
    <x v="80"/>
    <s v="2025"/>
    <x v="8"/>
    <s v="Sep 2025"/>
    <x v="1"/>
    <x v="0"/>
    <x v="0"/>
    <x v="3"/>
    <x v="10"/>
    <x v="1"/>
    <x v="2"/>
    <x v="4"/>
    <n v="13"/>
    <n v="18.989999999999998"/>
    <x v="3"/>
    <n v="9.64"/>
    <n v="222.18299999999999"/>
    <n v="125.32000000000001"/>
    <n v="96.862999999999985"/>
    <n v="0.4359604470188988"/>
    <n v="9"/>
    <n v="4"/>
  </r>
  <r>
    <x v="231"/>
    <x v="170"/>
    <s v="2025"/>
    <x v="10"/>
    <s v="Mar 2025"/>
    <x v="2"/>
    <x v="0"/>
    <x v="0"/>
    <x v="1"/>
    <x v="14"/>
    <x v="0"/>
    <x v="3"/>
    <x v="5"/>
    <n v="3"/>
    <n v="59.64"/>
    <x v="3"/>
    <n v="30.76"/>
    <n v="161.02800000000002"/>
    <n v="92.28"/>
    <n v="68.748000000000019"/>
    <n v="0.42693196214322982"/>
    <n v="2"/>
    <n v="4"/>
  </r>
  <r>
    <x v="232"/>
    <x v="171"/>
    <s v="2025"/>
    <x v="1"/>
    <s v="Jul 2025"/>
    <x v="0"/>
    <x v="0"/>
    <x v="0"/>
    <x v="2"/>
    <x v="5"/>
    <x v="1"/>
    <x v="1"/>
    <x v="5"/>
    <n v="22"/>
    <n v="64.36"/>
    <x v="3"/>
    <n v="35.08"/>
    <n v="1274.3280000000002"/>
    <n v="771.76"/>
    <n v="502.56800000000021"/>
    <n v="0.39437884124024597"/>
    <n v="1"/>
    <n v="4"/>
  </r>
  <r>
    <x v="233"/>
    <x v="172"/>
    <s v="2025"/>
    <x v="10"/>
    <s v="Mar 2025"/>
    <x v="0"/>
    <x v="3"/>
    <x v="6"/>
    <x v="2"/>
    <x v="5"/>
    <x v="0"/>
    <x v="3"/>
    <x v="1"/>
    <n v="24"/>
    <n v="67.69"/>
    <x v="2"/>
    <n v="37.54"/>
    <n v="1543.3319999999999"/>
    <n v="900.96"/>
    <n v="642.37199999999984"/>
    <n v="0.41622411768822254"/>
    <n v="6"/>
    <n v="4"/>
  </r>
  <r>
    <x v="234"/>
    <x v="112"/>
    <s v="2025"/>
    <x v="4"/>
    <s v="Apr 2025"/>
    <x v="1"/>
    <x v="1"/>
    <x v="10"/>
    <x v="0"/>
    <x v="15"/>
    <x v="2"/>
    <x v="3"/>
    <x v="0"/>
    <n v="5"/>
    <n v="168.99"/>
    <x v="0"/>
    <n v="107.79"/>
    <n v="844.95"/>
    <n v="538.95000000000005"/>
    <n v="306"/>
    <n v="0.36215160660394102"/>
    <n v="5"/>
    <n v="5"/>
  </r>
  <r>
    <x v="235"/>
    <x v="173"/>
    <s v="2025"/>
    <x v="3"/>
    <s v="May 2025"/>
    <x v="1"/>
    <x v="2"/>
    <x v="8"/>
    <x v="0"/>
    <x v="3"/>
    <x v="0"/>
    <x v="1"/>
    <x v="4"/>
    <n v="7"/>
    <n v="146.34"/>
    <x v="3"/>
    <n v="92.6"/>
    <n v="921.94200000000012"/>
    <n v="648.19999999999993"/>
    <n v="273.74200000000019"/>
    <n v="0.29691889511487723"/>
    <n v="8"/>
    <n v="5"/>
  </r>
  <r>
    <x v="236"/>
    <x v="174"/>
    <s v="2025"/>
    <x v="3"/>
    <s v="May 2025"/>
    <x v="2"/>
    <x v="1"/>
    <x v="10"/>
    <x v="1"/>
    <x v="12"/>
    <x v="2"/>
    <x v="1"/>
    <x v="5"/>
    <n v="12"/>
    <n v="36.99"/>
    <x v="2"/>
    <n v="20.6"/>
    <n v="421.68599999999998"/>
    <n v="247.20000000000002"/>
    <n v="174.48599999999996"/>
    <n v="0.41378181869922165"/>
    <n v="8"/>
    <n v="5"/>
  </r>
  <r>
    <x v="237"/>
    <x v="25"/>
    <s v="2025"/>
    <x v="2"/>
    <s v="Dec 2025"/>
    <x v="2"/>
    <x v="2"/>
    <x v="8"/>
    <x v="1"/>
    <x v="7"/>
    <x v="1"/>
    <x v="1"/>
    <x v="5"/>
    <n v="2"/>
    <n v="45.16"/>
    <x v="3"/>
    <n v="28.04"/>
    <n v="81.287999999999997"/>
    <n v="56.08"/>
    <n v="25.207999999999998"/>
    <n v="0.31010727290620999"/>
    <n v="9"/>
    <n v="5"/>
  </r>
  <r>
    <x v="238"/>
    <x v="175"/>
    <s v="2025"/>
    <x v="4"/>
    <s v="Apr 2025"/>
    <x v="2"/>
    <x v="2"/>
    <x v="8"/>
    <x v="3"/>
    <x v="4"/>
    <x v="0"/>
    <x v="2"/>
    <x v="5"/>
    <n v="13"/>
    <n v="23.93"/>
    <x v="4"/>
    <n v="13.54"/>
    <n v="264.42649999999998"/>
    <n v="176.01999999999998"/>
    <n v="88.406499999999994"/>
    <n v="0.33433298099850056"/>
    <n v="8"/>
    <n v="3"/>
  </r>
  <r>
    <x v="239"/>
    <x v="176"/>
    <s v="2025"/>
    <x v="0"/>
    <s v="Nov 2025"/>
    <x v="1"/>
    <x v="0"/>
    <x v="2"/>
    <x v="2"/>
    <x v="11"/>
    <x v="1"/>
    <x v="3"/>
    <x v="2"/>
    <n v="3"/>
    <n v="52.4"/>
    <x v="1"/>
    <n v="26.44"/>
    <n v="125.75999999999999"/>
    <n v="79.320000000000007"/>
    <n v="46.439999999999984"/>
    <n v="0.36927480916030525"/>
    <n v="6"/>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5D364D-C4F0-4890-99FE-5370A8631D15}" name="PivotTable2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location ref="I97:J103" firstHeaderRow="1" firstDataRow="1" firstDataCol="1"/>
  <pivotFields count="23">
    <pivotField showAll="0"/>
    <pivotField numFmtId="164" showAll="0"/>
    <pivotField showAll="0"/>
    <pivotField showAll="0"/>
    <pivotField showAll="0"/>
    <pivotField showAll="0"/>
    <pivotField showAll="0"/>
    <pivotField showAll="0"/>
    <pivotField showAll="0"/>
    <pivotField axis="axisRow" showAll="0" measureFilter="1" sortType="descending">
      <items count="17">
        <item x="3"/>
        <item x="4"/>
        <item x="15"/>
        <item x="5"/>
        <item x="7"/>
        <item x="11"/>
        <item x="14"/>
        <item x="6"/>
        <item x="8"/>
        <item x="9"/>
        <item x="13"/>
        <item x="10"/>
        <item x="0"/>
        <item x="1"/>
        <item x="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9"/>
  </rowFields>
  <rowItems count="6">
    <i>
      <x v="12"/>
    </i>
    <i>
      <x v="3"/>
    </i>
    <i>
      <x/>
    </i>
    <i>
      <x v="5"/>
    </i>
    <i>
      <x v="4"/>
    </i>
    <i t="grand">
      <x/>
    </i>
  </rowItems>
  <colItems count="1">
    <i/>
  </colItems>
  <dataFields count="1">
    <dataField name="Sum of Revenue" fld="17" baseField="0" baseItem="0" numFmtId="167"/>
  </dataFields>
  <formats count="1">
    <format dxfId="0">
      <pivotArea outline="0" collapsedLevelsAreSubtotals="1" fieldPosition="0"/>
    </format>
  </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7E1A30-2A4A-4EE8-B710-CE801E9DFAB2}" name="Total Ord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23">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numFmtId="166" showAll="0"/>
    <pivotField numFmtId="166" showAll="0"/>
    <pivotField numFmtId="166" showAll="0"/>
    <pivotField numFmtId="10" showAll="0"/>
    <pivotField numFmtId="1" showAll="0"/>
    <pivotField numFmtId="165" showAll="0"/>
  </pivotFields>
  <rowItems count="1">
    <i/>
  </rowItems>
  <colItems count="1">
    <i/>
  </colItems>
  <dataFields count="1">
    <dataField name="Total Orde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E37DB2-9715-4A12-BDB2-A90A9CBF15F6}"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rowHeaderCaption="Month Name">
  <location ref="A126:B139" firstHeaderRow="1" firstDataRow="1" firstDataCol="1"/>
  <pivotFields count="23">
    <pivotField showAll="0"/>
    <pivotField numFmtId="164" showAll="0"/>
    <pivotField showAll="0"/>
    <pivotField axis="axisRow" showAll="0">
      <items count="13">
        <item x="9"/>
        <item x="7"/>
        <item x="10"/>
        <item x="4"/>
        <item x="3"/>
        <item x="11"/>
        <item x="1"/>
        <item x="6"/>
        <item x="8"/>
        <item x="5"/>
        <item x="0"/>
        <item x="2"/>
        <item t="default"/>
      </items>
    </pivotField>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numFmtId="166" showAll="0"/>
    <pivotField numFmtId="166" showAll="0"/>
    <pivotField dataField="1" numFmtId="166" showAll="0"/>
    <pivotField numFmtId="10" showAll="0"/>
    <pivotField numFmtId="1" showAll="0"/>
    <pivotField numFmtId="165" showAll="0"/>
  </pivotFields>
  <rowFields count="1">
    <field x="3"/>
  </rowFields>
  <rowItems count="13">
    <i>
      <x/>
    </i>
    <i>
      <x v="1"/>
    </i>
    <i>
      <x v="2"/>
    </i>
    <i>
      <x v="3"/>
    </i>
    <i>
      <x v="4"/>
    </i>
    <i>
      <x v="5"/>
    </i>
    <i>
      <x v="6"/>
    </i>
    <i>
      <x v="7"/>
    </i>
    <i>
      <x v="8"/>
    </i>
    <i>
      <x v="9"/>
    </i>
    <i>
      <x v="10"/>
    </i>
    <i>
      <x v="11"/>
    </i>
    <i t="grand">
      <x/>
    </i>
  </rowItems>
  <colItems count="1">
    <i/>
  </colItems>
  <dataFields count="1">
    <dataField name="Sum of Profit" fld="19" baseField="0" baseItem="0" numFmtId="167"/>
  </dataFields>
  <formats count="1">
    <format dxfId="1">
      <pivotArea outline="0" collapsedLevelsAreSubtotals="1" fieldPosition="0"/>
    </format>
  </formats>
  <chartFormats count="2">
    <chartFormat chart="9" format="11"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764FC8-59EB-4508-899B-390C4946A34A}"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I32:L37" firstHeaderRow="0" firstDataRow="1" firstDataCol="1"/>
  <pivotFields count="23">
    <pivotField showAll="0"/>
    <pivotField numFmtId="164" showAll="0"/>
    <pivotField showAll="0"/>
    <pivotField showAll="0"/>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numFmtId="1" showAll="0"/>
    <pivotField numFmtId="166" showAll="0"/>
    <pivotField dataField="1" numFmtId="10" showAll="0"/>
    <pivotField numFmtId="166" showAll="0"/>
    <pivotField dataField="1" numFmtId="166" showAll="0"/>
    <pivotField numFmtId="166" showAll="0"/>
    <pivotField dataField="1" numFmtId="166" showAll="0"/>
    <pivotField numFmtId="10" showAll="0"/>
    <pivotField numFmtId="1" showAll="0"/>
    <pivotField numFmtId="165" showAll="0"/>
  </pivotFields>
  <rowFields count="1">
    <field x="8"/>
  </rowFields>
  <rowItems count="5">
    <i>
      <x/>
    </i>
    <i>
      <x v="1"/>
    </i>
    <i>
      <x v="2"/>
    </i>
    <i>
      <x v="3"/>
    </i>
    <i t="grand">
      <x/>
    </i>
  </rowItems>
  <colFields count="1">
    <field x="-2"/>
  </colFields>
  <colItems count="3">
    <i>
      <x/>
    </i>
    <i i="1">
      <x v="1"/>
    </i>
    <i i="2">
      <x v="2"/>
    </i>
  </colItems>
  <dataFields count="3">
    <dataField name="Average of Discount_Pct" fld="15" subtotal="average" baseField="7" baseItem="0" numFmtId="10"/>
    <dataField name="Sum of Revenue" fld="17" baseField="0" baseItem="0" numFmtId="166"/>
    <dataField name="Sum of Profit" fld="19"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742070-E71D-4AE0-92EC-2B34C9551153}"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A67:D73" firstHeaderRow="0" firstDataRow="1" firstDataCol="1"/>
  <pivotFields count="23">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66" showAll="0"/>
    <pivotField axis="axisRow" numFmtId="10" showAll="0">
      <items count="6">
        <item x="0"/>
        <item x="2"/>
        <item x="3"/>
        <item x="4"/>
        <item x="1"/>
        <item t="default"/>
      </items>
    </pivotField>
    <pivotField numFmtId="166" showAll="0"/>
    <pivotField dataField="1" numFmtId="166" showAll="0"/>
    <pivotField numFmtId="166" showAll="0"/>
    <pivotField numFmtId="166" showAll="0"/>
    <pivotField dataField="1" numFmtId="10" showAll="0"/>
    <pivotField numFmtId="1" showAll="0"/>
    <pivotField numFmtId="165" showAll="0"/>
  </pivotFields>
  <rowFields count="1">
    <field x="15"/>
  </rowFields>
  <rowItems count="6">
    <i>
      <x/>
    </i>
    <i>
      <x v="1"/>
    </i>
    <i>
      <x v="2"/>
    </i>
    <i>
      <x v="3"/>
    </i>
    <i>
      <x v="4"/>
    </i>
    <i t="grand">
      <x/>
    </i>
  </rowItems>
  <colFields count="1">
    <field x="-2"/>
  </colFields>
  <colItems count="3">
    <i>
      <x/>
    </i>
    <i i="1">
      <x v="1"/>
    </i>
    <i i="2">
      <x v="2"/>
    </i>
  </colItems>
  <dataFields count="3">
    <dataField name="Average of Profit_Margin" fld="20" subtotal="average" baseField="14" baseItem="3" numFmtId="10"/>
    <dataField name="Sum of Revenue" fld="17" baseField="0" baseItem="0" numFmtId="167"/>
    <dataField name="Count of Order_ID" fld="0" subtotal="count" baseField="0" baseItem="0"/>
  </dataFields>
  <formats count="1">
    <format dxfId="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E18E5A-19BA-4944-ABEC-48A4F926DB5C}"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I106:M111" firstHeaderRow="0" firstDataRow="1" firstDataCol="1"/>
  <pivotFields count="23">
    <pivotField dataField="1" showAll="0"/>
    <pivotField numFmtId="164" showAll="0"/>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dataField="1" numFmtId="166" showAll="0"/>
    <pivotField numFmtId="10" showAll="0"/>
    <pivotField numFmtId="1" showAll="0"/>
    <pivotField dataField="1" numFmtId="165" showAll="0"/>
  </pivotFields>
  <rowFields count="1">
    <field x="6"/>
  </rowFields>
  <rowItems count="5">
    <i>
      <x/>
    </i>
    <i>
      <x v="1"/>
    </i>
    <i>
      <x v="2"/>
    </i>
    <i>
      <x v="3"/>
    </i>
    <i t="grand">
      <x/>
    </i>
  </rowItems>
  <colFields count="1">
    <field x="-2"/>
  </colFields>
  <colItems count="4">
    <i>
      <x/>
    </i>
    <i i="1">
      <x v="1"/>
    </i>
    <i i="2">
      <x v="2"/>
    </i>
    <i i="3">
      <x v="3"/>
    </i>
  </colItems>
  <dataFields count="4">
    <dataField name="Sum of Revenue" fld="17" baseField="0" baseItem="0" numFmtId="167"/>
    <dataField name="Sum of Profit" fld="19" baseField="0" baseItem="0" numFmtId="167"/>
    <dataField name="Count of Order_ID" fld="0" subtotal="count" baseField="0" baseItem="0"/>
    <dataField name="Average of Customer_Rating" fld="22" subtotal="average" baseField="5" baseItem="0" numFmtId="165"/>
  </dataFields>
  <formats count="1">
    <format dxfId="3">
      <pivotArea outline="0" collapsedLevelsAreSubtotals="1"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B3005A-FB01-4919-AB8A-180F54CEA058}"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Month Name">
  <location ref="A111:B124" firstHeaderRow="1" firstDataRow="1" firstDataCol="1"/>
  <pivotFields count="23">
    <pivotField showAll="0"/>
    <pivotField numFmtId="164" showAll="0"/>
    <pivotField showAll="0"/>
    <pivotField axis="axisRow" showAll="0">
      <items count="13">
        <item x="9"/>
        <item x="7"/>
        <item x="10"/>
        <item x="4"/>
        <item x="3"/>
        <item x="11"/>
        <item x="1"/>
        <item x="6"/>
        <item x="8"/>
        <item x="5"/>
        <item x="0"/>
        <item x="2"/>
        <item t="default"/>
      </items>
    </pivotField>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3"/>
  </rowFields>
  <rowItems count="13">
    <i>
      <x/>
    </i>
    <i>
      <x v="1"/>
    </i>
    <i>
      <x v="2"/>
    </i>
    <i>
      <x v="3"/>
    </i>
    <i>
      <x v="4"/>
    </i>
    <i>
      <x v="5"/>
    </i>
    <i>
      <x v="6"/>
    </i>
    <i>
      <x v="7"/>
    </i>
    <i>
      <x v="8"/>
    </i>
    <i>
      <x v="9"/>
    </i>
    <i>
      <x v="10"/>
    </i>
    <i>
      <x v="11"/>
    </i>
    <i t="grand">
      <x/>
    </i>
  </rowItems>
  <colItems count="1">
    <i/>
  </colItems>
  <dataFields count="1">
    <dataField name="Total Revenue" fld="17" baseField="3" baseItem="0" numFmtId="167"/>
  </dataFields>
  <formats count="1">
    <format dxfId="4">
      <pivotArea outline="0" collapsedLevelsAreSubtotals="1" fieldPosition="0"/>
    </format>
  </formats>
  <chartFormats count="2">
    <chartFormat chart="3" format="5"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FD565BC-8F26-4BF0-8D49-C35BD990BCBE}" name=" Customer Segment Val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ustomer_Segment">
  <location ref="A33:B37" firstHeaderRow="1" firstDataRow="1" firstDataCol="1"/>
  <pivotFields count="23">
    <pivotField showAll="0"/>
    <pivotField numFmtId="164" showAll="0"/>
    <pivotField showAll="0"/>
    <pivotField showAll="0"/>
    <pivotField showAll="0"/>
    <pivotField axis="axisRow" showAll="0">
      <items count="4">
        <item x="1"/>
        <item x="0"/>
        <item x="2"/>
        <item t="default"/>
      </items>
    </pivotField>
    <pivotField showAll="0"/>
    <pivotField showAll="0"/>
    <pivotField showAll="0"/>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5"/>
  </rowFields>
  <rowItems count="4">
    <i>
      <x/>
    </i>
    <i>
      <x v="1"/>
    </i>
    <i>
      <x v="2"/>
    </i>
    <i t="grand">
      <x/>
    </i>
  </rowItems>
  <colItems count="1">
    <i/>
  </colItems>
  <dataFields count="1">
    <dataField name="Sum of Revenue" fld="17" baseField="0" baseItem="0" numFmtId="167"/>
  </dataFields>
  <formats count="1">
    <format dxfId="5">
      <pivotArea outline="0" collapsedLevelsAreSubtotals="1" fieldPosition="0">
        <references count="1">
          <reference field="4294967294" count="1" selected="0">
            <x v="0"/>
          </reference>
        </references>
      </pivotArea>
    </format>
  </format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5" count="1" selected="0">
            <x v="0"/>
          </reference>
        </references>
      </pivotArea>
    </chartFormat>
    <chartFormat chart="3" format="10">
      <pivotArea type="data" outline="0" fieldPosition="0">
        <references count="2">
          <reference field="4294967294" count="1" selected="0">
            <x v="0"/>
          </reference>
          <reference field="5" count="1" selected="0">
            <x v="1"/>
          </reference>
        </references>
      </pivotArea>
    </chartFormat>
    <chartFormat chart="3" format="1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0661AC2-996E-41E2-B2E8-88E1093362D8}"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Region">
  <location ref="A44:B50" firstHeaderRow="1" firstDataRow="1" firstDataCol="1"/>
  <pivotFields count="23">
    <pivotField showAll="0"/>
    <pivotField numFmtId="164" showAll="0"/>
    <pivotField showAll="0"/>
    <pivotField showAll="0"/>
    <pivotField showAll="0"/>
    <pivotField showAll="0"/>
    <pivotField showAll="0"/>
    <pivotField showAll="0"/>
    <pivotField showAll="0"/>
    <pivotField axis="axisRow" showAll="0" measureFilter="1" sortType="descending">
      <items count="17">
        <item x="3"/>
        <item x="4"/>
        <item x="15"/>
        <item x="5"/>
        <item x="7"/>
        <item x="11"/>
        <item x="14"/>
        <item x="6"/>
        <item x="8"/>
        <item x="9"/>
        <item x="13"/>
        <item x="10"/>
        <item x="0"/>
        <item x="1"/>
        <item x="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6" showAll="0"/>
    <pivotField numFmtId="10" showAll="0"/>
    <pivotField numFmtId="166" showAll="0"/>
    <pivotField numFmtId="166" showAll="0"/>
    <pivotField numFmtId="166" showAll="0"/>
    <pivotField dataField="1" numFmtId="166" showAll="0"/>
    <pivotField numFmtId="10" showAll="0"/>
    <pivotField numFmtId="1" showAll="0"/>
    <pivotField numFmtId="165" showAll="0"/>
  </pivotFields>
  <rowFields count="1">
    <field x="9"/>
  </rowFields>
  <rowItems count="6">
    <i>
      <x v="3"/>
    </i>
    <i>
      <x v="12"/>
    </i>
    <i>
      <x v="5"/>
    </i>
    <i>
      <x v="6"/>
    </i>
    <i>
      <x v="4"/>
    </i>
    <i t="grand">
      <x/>
    </i>
  </rowItems>
  <colItems count="1">
    <i/>
  </colItems>
  <dataFields count="1">
    <dataField name="Sum of Profit" fld="19" baseField="0" baseItem="0" numFmtId="167"/>
  </dataFields>
  <formats count="1">
    <format dxfId="6">
      <pivotArea outline="0" collapsedLevelsAreSubtotals="1" fieldPosition="0"/>
    </format>
  </formats>
  <chartFormats count="5">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9" count="1" selected="0">
            <x v="5"/>
          </reference>
        </references>
      </pivotArea>
    </chartFormat>
    <chartFormat chart="3" format="10">
      <pivotArea type="data" outline="0" fieldPosition="0">
        <references count="2">
          <reference field="4294967294" count="1" selected="0">
            <x v="0"/>
          </reference>
          <reference field="9" count="1" selected="0">
            <x v="6"/>
          </reference>
        </references>
      </pivotArea>
    </chartFormat>
    <chartFormat chart="3" format="11">
      <pivotArea type="data" outline="0" fieldPosition="0">
        <references count="2">
          <reference field="4294967294" count="1" selected="0">
            <x v="0"/>
          </reference>
          <reference field="9" count="1" selected="0">
            <x v="4"/>
          </reference>
        </references>
      </pivotArea>
    </chartFormat>
    <chartFormat chart="3" format="12">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A6E363-479F-4414-93CF-A59AAD3A3098}" name="Discount vs Profit Margin Analysi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iscount">
  <location ref="A59:B65" firstHeaderRow="1" firstDataRow="1" firstDataCol="1"/>
  <pivotFields count="23">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66" showAll="0"/>
    <pivotField axis="axisRow" numFmtId="10" showAll="0">
      <items count="6">
        <item x="0"/>
        <item x="2"/>
        <item x="3"/>
        <item x="4"/>
        <item x="1"/>
        <item t="default"/>
      </items>
    </pivotField>
    <pivotField numFmtId="166" showAll="0"/>
    <pivotField numFmtId="166" showAll="0"/>
    <pivotField numFmtId="166" showAll="0"/>
    <pivotField numFmtId="166" showAll="0"/>
    <pivotField dataField="1" numFmtId="10" showAll="0"/>
    <pivotField numFmtId="1" showAll="0"/>
    <pivotField numFmtId="165" showAll="0"/>
  </pivotFields>
  <rowFields count="1">
    <field x="15"/>
  </rowFields>
  <rowItems count="6">
    <i>
      <x/>
    </i>
    <i>
      <x v="1"/>
    </i>
    <i>
      <x v="2"/>
    </i>
    <i>
      <x v="3"/>
    </i>
    <i>
      <x v="4"/>
    </i>
    <i t="grand">
      <x/>
    </i>
  </rowItems>
  <colItems count="1">
    <i/>
  </colItems>
  <dataFields count="1">
    <dataField name="Average of Profit_Margin" fld="20" subtotal="average" baseField="14" baseItem="3"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BD94AEF-ECE5-471B-AAEC-310543B6D203}" name="PivotTable1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ategory">
  <location ref="A99:F104" firstHeaderRow="0" firstDataRow="1" firstDataCol="1"/>
  <pivotFields count="23">
    <pivotField dataField="1"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numFmtId="164" showAll="0"/>
    <pivotField showAll="0"/>
    <pivotField showAll="0"/>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dataField="1" numFmtId="166" showAll="0"/>
    <pivotField dataField="1" numFmtId="10" showAll="0"/>
    <pivotField numFmtId="1" showAll="0"/>
    <pivotField dataField="1" numFmtId="165" showAll="0"/>
  </pivotFields>
  <rowFields count="1">
    <field x="8"/>
  </rowFields>
  <rowItems count="5">
    <i>
      <x/>
    </i>
    <i>
      <x v="1"/>
    </i>
    <i>
      <x v="2"/>
    </i>
    <i>
      <x v="3"/>
    </i>
    <i t="grand">
      <x/>
    </i>
  </rowItems>
  <colFields count="1">
    <field x="-2"/>
  </colFields>
  <colItems count="5">
    <i>
      <x/>
    </i>
    <i i="1">
      <x v="1"/>
    </i>
    <i i="2">
      <x v="2"/>
    </i>
    <i i="3">
      <x v="3"/>
    </i>
    <i i="4">
      <x v="4"/>
    </i>
  </colItems>
  <dataFields count="5">
    <dataField name="Total Revenue" fld="17" baseField="8" baseItem="0" numFmtId="167"/>
    <dataField name="Profit Margin" fld="20" subtotal="average" baseField="8" baseItem="0" numFmtId="10"/>
    <dataField name="Total Profit" fld="19" baseField="0" baseItem="0" numFmtId="167"/>
    <dataField name="Customer Rating" fld="22" subtotal="average" baseField="7" baseItem="0" numFmtId="165"/>
    <dataField name="Total Order" fld="0" subtotal="count" baseField="0" baseItem="0"/>
  </dataFields>
  <formats count="29">
    <format dxfId="35">
      <pivotArea type="all" dataOnly="0" outline="0" fieldPosition="0"/>
    </format>
    <format dxfId="34">
      <pivotArea outline="0" collapsedLevelsAreSubtotals="1" fieldPosition="0"/>
    </format>
    <format dxfId="33">
      <pivotArea field="8" type="button" dataOnly="0" labelOnly="1" outline="0" axis="axisRow" fieldPosition="0"/>
    </format>
    <format dxfId="32">
      <pivotArea dataOnly="0" labelOnly="1" fieldPosition="0">
        <references count="1">
          <reference field="8" count="0"/>
        </references>
      </pivotArea>
    </format>
    <format dxfId="31">
      <pivotArea dataOnly="0" labelOnly="1" grandRow="1" outline="0" fieldPosition="0"/>
    </format>
    <format dxfId="30">
      <pivotArea dataOnly="0" labelOnly="1" outline="0" fieldPosition="0">
        <references count="1">
          <reference field="4294967294" count="5">
            <x v="0"/>
            <x v="1"/>
            <x v="2"/>
            <x v="3"/>
            <x v="4"/>
          </reference>
        </references>
      </pivotArea>
    </format>
    <format dxfId="29">
      <pivotArea type="all" dataOnly="0" outline="0" fieldPosition="0"/>
    </format>
    <format dxfId="28">
      <pivotArea outline="0" collapsedLevelsAreSubtotals="1" fieldPosition="0"/>
    </format>
    <format dxfId="27">
      <pivotArea field="8" type="button" dataOnly="0" labelOnly="1" outline="0" axis="axisRow" fieldPosition="0"/>
    </format>
    <format dxfId="26">
      <pivotArea dataOnly="0" labelOnly="1" fieldPosition="0">
        <references count="1">
          <reference field="8" count="0"/>
        </references>
      </pivotArea>
    </format>
    <format dxfId="25">
      <pivotArea dataOnly="0" labelOnly="1" grandRow="1" outline="0" fieldPosition="0"/>
    </format>
    <format dxfId="24">
      <pivotArea dataOnly="0" labelOnly="1" outline="0" fieldPosition="0">
        <references count="1">
          <reference field="4294967294" count="5">
            <x v="0"/>
            <x v="1"/>
            <x v="2"/>
            <x v="3"/>
            <x v="4"/>
          </reference>
        </references>
      </pivotArea>
    </format>
    <format dxfId="23">
      <pivotArea outline="0" collapsedLevelsAreSubtotals="1" fieldPosition="0">
        <references count="1">
          <reference field="4294967294" count="1" selected="0">
            <x v="0"/>
          </reference>
        </references>
      </pivotArea>
    </format>
    <format dxfId="22">
      <pivotArea outline="0" collapsedLevelsAreSubtotals="1" fieldPosition="0">
        <references count="1">
          <reference field="4294967294" count="1" selected="0">
            <x v="2"/>
          </reference>
        </references>
      </pivotArea>
    </format>
    <format dxfId="21">
      <pivotArea outline="0" collapsedLevelsAreSubtotals="1" fieldPosition="0"/>
    </format>
    <format dxfId="20">
      <pivotArea dataOnly="0" labelOnly="1" fieldPosition="0">
        <references count="1">
          <reference field="8" count="0"/>
        </references>
      </pivotArea>
    </format>
    <format dxfId="19">
      <pivotArea dataOnly="0" labelOnly="1" grandRow="1" outline="0" fieldPosition="0"/>
    </format>
    <format dxfId="18">
      <pivotArea type="all" dataOnly="0" outline="0" fieldPosition="0"/>
    </format>
    <format dxfId="17">
      <pivotArea outline="0" collapsedLevelsAreSubtotals="1" fieldPosition="0"/>
    </format>
    <format dxfId="16">
      <pivotArea field="8" type="button" dataOnly="0" labelOnly="1" outline="0" axis="axisRow" fieldPosition="0"/>
    </format>
    <format dxfId="15">
      <pivotArea dataOnly="0" labelOnly="1" fieldPosition="0">
        <references count="1">
          <reference field="8" count="0"/>
        </references>
      </pivotArea>
    </format>
    <format dxfId="14">
      <pivotArea dataOnly="0" labelOnly="1" grandRow="1" outline="0" fieldPosition="0"/>
    </format>
    <format dxfId="13">
      <pivotArea dataOnly="0" labelOnly="1" outline="0" fieldPosition="0">
        <references count="1">
          <reference field="4294967294" count="5">
            <x v="0"/>
            <x v="1"/>
            <x v="2"/>
            <x v="3"/>
            <x v="4"/>
          </reference>
        </references>
      </pivotArea>
    </format>
    <format dxfId="12">
      <pivotArea type="all" dataOnly="0" outline="0" fieldPosition="0"/>
    </format>
    <format dxfId="11">
      <pivotArea outline="0" collapsedLevelsAreSubtotals="1" fieldPosition="0"/>
    </format>
    <format dxfId="10">
      <pivotArea field="8" type="button" dataOnly="0" labelOnly="1" outline="0" axis="axisRow" fieldPosition="0"/>
    </format>
    <format dxfId="9">
      <pivotArea dataOnly="0" labelOnly="1" fieldPosition="0">
        <references count="1">
          <reference field="8" count="0"/>
        </references>
      </pivotArea>
    </format>
    <format dxfId="8">
      <pivotArea dataOnly="0" labelOnly="1" grandRow="1" outline="0" fieldPosition="0"/>
    </format>
    <format dxfId="7">
      <pivotArea dataOnly="0" labelOnly="1" outline="0" fieldPosition="0">
        <references count="1">
          <reference field="4294967294" count="5">
            <x v="0"/>
            <x v="1"/>
            <x v="2"/>
            <x v="3"/>
            <x v="4"/>
          </reference>
        </references>
      </pivotArea>
    </format>
  </formats>
  <conditionalFormats count="5">
    <conditionalFormat priority="10">
      <pivotAreas count="1">
        <pivotArea type="data" collapsedLevelsAreSubtotals="1" fieldPosition="0">
          <references count="2">
            <reference field="4294967294" count="1" selected="0">
              <x v="0"/>
            </reference>
            <reference field="8" count="4">
              <x v="0"/>
              <x v="1"/>
              <x v="2"/>
              <x v="3"/>
            </reference>
          </references>
        </pivotArea>
      </pivotAreas>
    </conditionalFormat>
    <conditionalFormat priority="9">
      <pivotAreas count="1">
        <pivotArea type="data" collapsedLevelsAreSubtotals="1" fieldPosition="0">
          <references count="2">
            <reference field="4294967294" count="1" selected="0">
              <x v="0"/>
            </reference>
            <reference field="8" count="4">
              <x v="0"/>
              <x v="1"/>
              <x v="2"/>
              <x v="3"/>
            </reference>
          </references>
        </pivotArea>
      </pivotAreas>
    </conditionalFormat>
    <conditionalFormat priority="8">
      <pivotAreas count="1">
        <pivotArea type="data" collapsedLevelsAreSubtotals="1" fieldPosition="0">
          <references count="2">
            <reference field="4294967294" count="1" selected="0">
              <x v="1"/>
            </reference>
            <reference field="8" count="4">
              <x v="0"/>
              <x v="1"/>
              <x v="2"/>
              <x v="3"/>
            </reference>
          </references>
        </pivotArea>
      </pivotAreas>
    </conditionalFormat>
    <conditionalFormat priority="7">
      <pivotAreas count="1">
        <pivotArea type="data" collapsedLevelsAreSubtotals="1" fieldPosition="0">
          <references count="2">
            <reference field="4294967294" count="1" selected="0">
              <x v="2"/>
            </reference>
            <reference field="8" count="4">
              <x v="0"/>
              <x v="1"/>
              <x v="2"/>
              <x v="3"/>
            </reference>
          </references>
        </pivotArea>
      </pivotAreas>
    </conditionalFormat>
    <conditionalFormat priority="6">
      <pivotAreas count="1">
        <pivotArea type="data" collapsedLevelsAreSubtotals="1" fieldPosition="0">
          <references count="2">
            <reference field="4294967294" count="1" selected="0">
              <x v="3"/>
            </reference>
            <reference field="8" count="4">
              <x v="0"/>
              <x v="1"/>
              <x v="2"/>
              <x v="3"/>
            </reference>
          </references>
        </pivotArea>
      </pivotAreas>
    </conditionalFormat>
  </conditional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4434B64-91E2-4D5C-BDDD-85FAC7F59067}"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location ref="I88:O94" firstHeaderRow="0" firstDataRow="1" firstDataCol="1"/>
  <pivotFields count="23">
    <pivotField dataField="1" showAll="0"/>
    <pivotField numFmtId="164" showAll="0"/>
    <pivotField showAll="0"/>
    <pivotField showAll="0"/>
    <pivotField showAll="0"/>
    <pivotField showAll="0"/>
    <pivotField showAll="0"/>
    <pivotField showAll="0"/>
    <pivotField showAll="0"/>
    <pivotField axis="axisRow" showAll="0" measureFilter="1" sortType="descending">
      <items count="17">
        <item x="3"/>
        <item x="4"/>
        <item x="15"/>
        <item x="5"/>
        <item x="7"/>
        <item x="11"/>
        <item x="14"/>
        <item x="6"/>
        <item x="8"/>
        <item x="9"/>
        <item x="13"/>
        <item x="10"/>
        <item x="0"/>
        <item x="1"/>
        <item x="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6" showAll="0"/>
    <pivotField numFmtId="10" showAll="0"/>
    <pivotField numFmtId="166" showAll="0"/>
    <pivotField dataField="1" numFmtId="166" showAll="0"/>
    <pivotField numFmtId="166" showAll="0"/>
    <pivotField dataField="1" numFmtId="166" showAll="0"/>
    <pivotField dataField="1" numFmtId="10" showAll="0"/>
    <pivotField dataField="1" numFmtId="1" showAll="0"/>
    <pivotField dataField="1" numFmtId="165" showAll="0"/>
  </pivotFields>
  <rowFields count="1">
    <field x="9"/>
  </rowFields>
  <rowItems count="6">
    <i>
      <x v="12"/>
    </i>
    <i>
      <x v="3"/>
    </i>
    <i>
      <x/>
    </i>
    <i>
      <x v="5"/>
    </i>
    <i>
      <x v="4"/>
    </i>
    <i t="grand">
      <x/>
    </i>
  </rowItems>
  <colFields count="1">
    <field x="-2"/>
  </colFields>
  <colItems count="6">
    <i>
      <x/>
    </i>
    <i i="1">
      <x v="1"/>
    </i>
    <i i="2">
      <x v="2"/>
    </i>
    <i i="3">
      <x v="3"/>
    </i>
    <i i="4">
      <x v="4"/>
    </i>
    <i i="5">
      <x v="5"/>
    </i>
  </colItems>
  <dataFields count="6">
    <dataField name="Total Revenue" fld="17" baseField="9" baseItem="12" numFmtId="166"/>
    <dataField name="Total Profit" fld="19" baseField="9" baseItem="12" numFmtId="166"/>
    <dataField name="Profit_Margin Rate" fld="20" subtotal="average" baseField="9" baseItem="12" numFmtId="10"/>
    <dataField name="Total Order" fld="0" subtotal="count" baseField="9" baseItem="12"/>
    <dataField name="Customer Rating" fld="22" subtotal="average" baseField="9" baseItem="12" numFmtId="165"/>
    <dataField name="Delivery Days" fld="21" subtotal="average" baseField="9" baseItem="12" numFmtId="1"/>
  </dataFields>
  <conditionalFormats count="5">
    <conditionalFormat priority="1">
      <pivotAreas count="1">
        <pivotArea type="data" collapsedLevelsAreSubtotals="1" fieldPosition="0">
          <references count="2">
            <reference field="4294967294" count="2" selected="0">
              <x v="4"/>
              <x v="5"/>
            </reference>
            <reference field="9" count="5">
              <x v="0"/>
              <x v="3"/>
              <x v="4"/>
              <x v="5"/>
              <x v="12"/>
            </reference>
          </references>
        </pivotArea>
      </pivotAreas>
    </conditionalFormat>
    <conditionalFormat priority="2">
      <pivotAreas count="1">
        <pivotArea type="data" collapsedLevelsAreSubtotals="1" fieldPosition="0">
          <references count="2">
            <reference field="4294967294" count="1" selected="0">
              <x v="3"/>
            </reference>
            <reference field="9" count="5">
              <x v="0"/>
              <x v="3"/>
              <x v="4"/>
              <x v="5"/>
              <x v="12"/>
            </reference>
          </references>
        </pivotArea>
      </pivotAreas>
    </conditionalFormat>
    <conditionalFormat priority="3">
      <pivotAreas count="1">
        <pivotArea type="data" collapsedLevelsAreSubtotals="1" fieldPosition="0">
          <references count="2">
            <reference field="4294967294" count="1" selected="0">
              <x v="2"/>
            </reference>
            <reference field="9" count="5">
              <x v="0"/>
              <x v="3"/>
              <x v="4"/>
              <x v="5"/>
              <x v="12"/>
            </reference>
          </references>
        </pivotArea>
      </pivotAreas>
    </conditionalFormat>
    <conditionalFormat priority="4">
      <pivotAreas count="1">
        <pivotArea type="data" collapsedLevelsAreSubtotals="1" fieldPosition="0">
          <references count="2">
            <reference field="4294967294" count="1" selected="0">
              <x v="1"/>
            </reference>
            <reference field="9" count="5">
              <x v="0"/>
              <x v="3"/>
              <x v="4"/>
              <x v="5"/>
              <x v="12"/>
            </reference>
          </references>
        </pivotArea>
      </pivotAreas>
    </conditionalFormat>
    <conditionalFormat priority="5">
      <pivotAreas count="1">
        <pivotArea type="data" collapsedLevelsAreSubtotals="1" fieldPosition="0">
          <references count="2">
            <reference field="4294967294" count="1" selected="0">
              <x v="0"/>
            </reference>
            <reference field="9" count="5">
              <x v="0"/>
              <x v="3"/>
              <x v="4"/>
              <x v="5"/>
              <x v="12"/>
            </reference>
          </references>
        </pivotArea>
      </pivotAreas>
    </conditionalFormat>
  </conditional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C291DAA-3006-44AE-9B5A-359D2EB8C372}" name="Total 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23">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numFmtId="166" showAll="0"/>
    <pivotField numFmtId="166" showAll="0"/>
    <pivotField dataField="1" numFmtId="166" showAll="0"/>
    <pivotField numFmtId="10" showAll="0"/>
    <pivotField numFmtId="1" showAll="0"/>
    <pivotField numFmtId="165" showAll="0"/>
  </pivotFields>
  <rowItems count="1">
    <i/>
  </rowItems>
  <colItems count="1">
    <i/>
  </colItems>
  <dataFields count="1">
    <dataField name="Total Profit" fld="19" baseField="0" baseItem="0" numFmtId="167"/>
  </dataField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558CBBE-4C18-468A-8F3F-7400525F28A1}"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rowHeaderCaption="Category">
  <location ref="A92:B97" firstHeaderRow="1" firstDataRow="1" firstDataCol="1"/>
  <pivotFields count="23">
    <pivotField showAll="0"/>
    <pivotField numFmtId="164" showAll="0">
      <items count="178">
        <item x="146"/>
        <item x="52"/>
        <item x="41"/>
        <item x="121"/>
        <item x="163"/>
        <item x="142"/>
        <item x="59"/>
        <item x="86"/>
        <item x="101"/>
        <item x="144"/>
        <item x="106"/>
        <item x="156"/>
        <item x="92"/>
        <item x="78"/>
        <item x="20"/>
        <item x="30"/>
        <item x="68"/>
        <item x="155"/>
        <item x="39"/>
        <item x="130"/>
        <item x="55"/>
        <item x="98"/>
        <item x="125"/>
        <item x="124"/>
        <item x="82"/>
        <item x="13"/>
        <item x="167"/>
        <item x="69"/>
        <item x="75"/>
        <item x="170"/>
        <item x="172"/>
        <item x="147"/>
        <item x="161"/>
        <item x="134"/>
        <item x="137"/>
        <item x="72"/>
        <item x="73"/>
        <item x="99"/>
        <item x="84"/>
        <item x="151"/>
        <item x="46"/>
        <item x="131"/>
        <item x="158"/>
        <item x="159"/>
        <item x="8"/>
        <item x="175"/>
        <item x="42"/>
        <item x="110"/>
        <item x="120"/>
        <item x="26"/>
        <item x="89"/>
        <item x="44"/>
        <item x="21"/>
        <item x="17"/>
        <item x="112"/>
        <item x="29"/>
        <item x="40"/>
        <item x="66"/>
        <item x="63"/>
        <item x="67"/>
        <item x="35"/>
        <item x="9"/>
        <item x="43"/>
        <item x="19"/>
        <item x="60"/>
        <item x="174"/>
        <item x="16"/>
        <item x="152"/>
        <item x="24"/>
        <item x="4"/>
        <item x="107"/>
        <item x="173"/>
        <item x="48"/>
        <item x="45"/>
        <item x="74"/>
        <item x="109"/>
        <item x="95"/>
        <item x="119"/>
        <item x="114"/>
        <item x="50"/>
        <item x="100"/>
        <item x="129"/>
        <item x="162"/>
        <item x="91"/>
        <item x="160"/>
        <item x="113"/>
        <item x="111"/>
        <item x="102"/>
        <item x="138"/>
        <item x="127"/>
        <item x="143"/>
        <item x="88"/>
        <item x="141"/>
        <item x="135"/>
        <item x="76"/>
        <item x="90"/>
        <item x="64"/>
        <item x="168"/>
        <item x="128"/>
        <item x="2"/>
        <item x="57"/>
        <item x="171"/>
        <item x="33"/>
        <item x="61"/>
        <item x="93"/>
        <item x="6"/>
        <item x="5"/>
        <item x="22"/>
        <item x="164"/>
        <item x="51"/>
        <item x="169"/>
        <item x="32"/>
        <item x="34"/>
        <item x="118"/>
        <item x="47"/>
        <item x="38"/>
        <item x="150"/>
        <item x="27"/>
        <item x="97"/>
        <item x="65"/>
        <item x="140"/>
        <item x="31"/>
        <item x="85"/>
        <item x="115"/>
        <item x="12"/>
        <item x="28"/>
        <item x="108"/>
        <item x="122"/>
        <item x="94"/>
        <item x="58"/>
        <item x="157"/>
        <item x="83"/>
        <item x="15"/>
        <item x="165"/>
        <item x="80"/>
        <item x="154"/>
        <item x="139"/>
        <item x="149"/>
        <item x="10"/>
        <item x="117"/>
        <item x="153"/>
        <item x="96"/>
        <item x="18"/>
        <item x="77"/>
        <item x="37"/>
        <item x="79"/>
        <item x="36"/>
        <item x="104"/>
        <item x="126"/>
        <item x="54"/>
        <item x="7"/>
        <item x="133"/>
        <item x="103"/>
        <item x="87"/>
        <item x="62"/>
        <item x="49"/>
        <item x="132"/>
        <item x="166"/>
        <item x="145"/>
        <item x="176"/>
        <item x="0"/>
        <item x="1"/>
        <item x="81"/>
        <item x="23"/>
        <item x="116"/>
        <item x="71"/>
        <item x="123"/>
        <item x="25"/>
        <item x="56"/>
        <item x="105"/>
        <item x="70"/>
        <item x="136"/>
        <item x="148"/>
        <item x="14"/>
        <item x="53"/>
        <item x="3"/>
        <item x="11"/>
        <item t="default"/>
      </items>
    </pivotField>
    <pivotField showAll="0"/>
    <pivotField showAll="0"/>
    <pivotField showAll="0"/>
    <pivotField showAll="0">
      <items count="4">
        <item x="1"/>
        <item x="0"/>
        <item x="2"/>
        <item t="default"/>
      </items>
    </pivotField>
    <pivotField showAll="0">
      <items count="5">
        <item x="2"/>
        <item x="0"/>
        <item x="3"/>
        <item x="1"/>
        <item t="default"/>
      </items>
    </pivotField>
    <pivotField showAll="0"/>
    <pivotField axis="axisRow" showAll="0" sortType="descending">
      <items count="5">
        <item x="2"/>
        <item x="0"/>
        <item x="3"/>
        <item x="1"/>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items count="5">
        <item x="3"/>
        <item x="0"/>
        <item x="1"/>
        <item x="2"/>
        <item t="default"/>
      </items>
    </pivotField>
    <pivotField showAll="0">
      <items count="7">
        <item x="4"/>
        <item x="3"/>
        <item x="5"/>
        <item x="2"/>
        <item x="0"/>
        <item x="1"/>
        <item t="default"/>
      </items>
    </pivotField>
    <pivotField numFmtId="1" showAll="0"/>
    <pivotField numFmtId="166" showAll="0"/>
    <pivotField numFmtId="10" showAll="0"/>
    <pivotField numFmtId="166" showAll="0"/>
    <pivotField numFmtId="166" showAll="0"/>
    <pivotField numFmtId="166" showAll="0"/>
    <pivotField numFmtId="166" showAll="0"/>
    <pivotField numFmtId="10" showAll="0"/>
    <pivotField numFmtId="1" showAll="0"/>
    <pivotField dataField="1" numFmtId="165" showAll="0"/>
  </pivotFields>
  <rowFields count="1">
    <field x="8"/>
  </rowFields>
  <rowItems count="5">
    <i>
      <x v="3"/>
    </i>
    <i>
      <x v="2"/>
    </i>
    <i>
      <x v="1"/>
    </i>
    <i>
      <x/>
    </i>
    <i t="grand">
      <x/>
    </i>
  </rowItems>
  <colItems count="1">
    <i/>
  </colItems>
  <dataFields count="1">
    <dataField name="Average of Customer_Rating" fld="22" subtotal="average" baseField="7" baseItem="0" numFmtId="165"/>
  </dataFields>
  <chartFormats count="5">
    <chartFormat chart="6" format="20" series="1">
      <pivotArea type="data" outline="0" fieldPosition="0">
        <references count="1">
          <reference field="4294967294" count="1" selected="0">
            <x v="0"/>
          </reference>
        </references>
      </pivotArea>
    </chartFormat>
    <chartFormat chart="6" format="21">
      <pivotArea type="data" outline="0" fieldPosition="0">
        <references count="2">
          <reference field="4294967294" count="1" selected="0">
            <x v="0"/>
          </reference>
          <reference field="8" count="1" selected="0">
            <x v="3"/>
          </reference>
        </references>
      </pivotArea>
    </chartFormat>
    <chartFormat chart="6" format="22">
      <pivotArea type="data" outline="0" fieldPosition="0">
        <references count="2">
          <reference field="4294967294" count="1" selected="0">
            <x v="0"/>
          </reference>
          <reference field="8" count="1" selected="0">
            <x v="2"/>
          </reference>
        </references>
      </pivotArea>
    </chartFormat>
    <chartFormat chart="6" format="23">
      <pivotArea type="data" outline="0" fieldPosition="0">
        <references count="2">
          <reference field="4294967294" count="1" selected="0">
            <x v="0"/>
          </reference>
          <reference field="8" count="1" selected="0">
            <x v="1"/>
          </reference>
        </references>
      </pivotArea>
    </chartFormat>
    <chartFormat chart="6" format="24">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filters count="1">
    <filter fld="1" type="dateBetween" evalOrder="-1" id="21" name="Order_Date">
      <autoFilter ref="A1">
        <filterColumn colId="0">
          <customFilters and="1">
            <customFilter operator="greaterThanOrEqual" val="45839"/>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E5EA159-C563-4CFC-816C-D406834B6ECD}" name="Payment Method Usag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Payment_Method">
  <location ref="A83:B88" firstHeaderRow="1" firstDataRow="1" firstDataCol="1"/>
  <pivotFields count="23">
    <pivotField showAll="0"/>
    <pivotField numFmtId="164" showAll="0"/>
    <pivotField showAll="0"/>
    <pivotField showAll="0"/>
    <pivotField showAll="0"/>
    <pivotField showAll="0"/>
    <pivotField showAll="0"/>
    <pivotField showAll="0"/>
    <pivotField showAll="0"/>
    <pivotField showAll="0"/>
    <pivotField showAll="0"/>
    <pivotField axis="axisRow" showAll="0">
      <items count="5">
        <item x="3"/>
        <item x="0"/>
        <item x="1"/>
        <item x="2"/>
        <item t="default"/>
      </items>
    </pivotField>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11"/>
  </rowFields>
  <rowItems count="5">
    <i>
      <x/>
    </i>
    <i>
      <x v="1"/>
    </i>
    <i>
      <x v="2"/>
    </i>
    <i>
      <x v="3"/>
    </i>
    <i t="grand">
      <x/>
    </i>
  </rowItems>
  <colItems count="1">
    <i/>
  </colItems>
  <dataFields count="1">
    <dataField name="Sum of Revenue" fld="17" baseField="0" baseItem="0" numFmtId="166"/>
  </dataFields>
  <chartFormats count="5">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1" count="1" selected="0">
            <x v="0"/>
          </reference>
        </references>
      </pivotArea>
    </chartFormat>
    <chartFormat chart="10" format="8">
      <pivotArea type="data" outline="0" fieldPosition="0">
        <references count="2">
          <reference field="4294967294" count="1" selected="0">
            <x v="0"/>
          </reference>
          <reference field="11" count="1" selected="0">
            <x v="1"/>
          </reference>
        </references>
      </pivotArea>
    </chartFormat>
    <chartFormat chart="10" format="9">
      <pivotArea type="data" outline="0" fieldPosition="0">
        <references count="2">
          <reference field="4294967294" count="1" selected="0">
            <x v="0"/>
          </reference>
          <reference field="11" count="1" selected="0">
            <x v="2"/>
          </reference>
        </references>
      </pivotArea>
    </chartFormat>
    <chartFormat chart="10" format="10">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770372A-2486-4BE2-A332-941EDF7F9878}" name="Top Revenue by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A13:B18" firstHeaderRow="1" firstDataRow="1" firstDataCol="1"/>
  <pivotFields count="23">
    <pivotField showAll="0"/>
    <pivotField numFmtId="164" showAll="0"/>
    <pivotField showAll="0"/>
    <pivotField showAll="0"/>
    <pivotField showAll="0"/>
    <pivotField showAll="0"/>
    <pivotField showAll="0"/>
    <pivotField showAll="0"/>
    <pivotField axis="axisRow" showAll="0" sortType="descending">
      <items count="5">
        <item x="2"/>
        <item x="0"/>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8"/>
  </rowFields>
  <rowItems count="5">
    <i>
      <x v="1"/>
    </i>
    <i>
      <x/>
    </i>
    <i>
      <x v="3"/>
    </i>
    <i>
      <x v="2"/>
    </i>
    <i t="grand">
      <x/>
    </i>
  </rowItems>
  <colItems count="1">
    <i/>
  </colItems>
  <dataFields count="1">
    <dataField name="Sum of Revenue" fld="17" baseField="0" baseItem="0" numFmtId="167"/>
  </dataFields>
  <formats count="1">
    <format dxfId="37">
      <pivotArea outline="0" collapsedLevelsAreSubtotals="1" fieldPosition="0"/>
    </format>
  </formats>
  <conditionalFormats count="1">
    <conditionalFormat priority="14">
      <pivotAreas count="1">
        <pivotArea type="data" collapsedLevelsAreSubtotals="1" fieldPosition="0">
          <references count="2">
            <reference field="4294967294" count="1" selected="0">
              <x v="0"/>
            </reference>
            <reference field="8" count="4">
              <x v="0"/>
              <x v="1"/>
              <x v="2"/>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9D531EF-4475-4BCB-B615-C7227A29FB9F}" name=" Top Cities by Order C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ities">
  <location ref="I55:J68" firstHeaderRow="1" firstDataRow="1" firstDataCol="1"/>
  <pivotFields count="23">
    <pivotField dataField="1" showAll="0"/>
    <pivotField numFmtId="164" showAll="0"/>
    <pivotField showAll="0"/>
    <pivotField showAll="0"/>
    <pivotField showAll="0"/>
    <pivotField showAll="0"/>
    <pivotField showAll="0"/>
    <pivotField axis="axisRow" showAll="0" sortType="descending">
      <items count="13">
        <item x="10"/>
        <item x="11"/>
        <item x="9"/>
        <item x="0"/>
        <item x="7"/>
        <item x="4"/>
        <item x="1"/>
        <item x="3"/>
        <item x="6"/>
        <item x="2"/>
        <item x="8"/>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 showAll="0"/>
    <pivotField numFmtId="166" showAll="0"/>
    <pivotField numFmtId="10" showAll="0"/>
    <pivotField numFmtId="166" showAll="0"/>
    <pivotField numFmtId="166" showAll="0"/>
    <pivotField numFmtId="166" showAll="0"/>
    <pivotField numFmtId="166" showAll="0"/>
    <pivotField numFmtId="10" showAll="0"/>
    <pivotField numFmtId="1" showAll="0"/>
    <pivotField numFmtId="165" showAll="0"/>
  </pivotFields>
  <rowFields count="1">
    <field x="7"/>
  </rowFields>
  <rowItems count="13">
    <i>
      <x v="10"/>
    </i>
    <i>
      <x v="8"/>
    </i>
    <i>
      <x v="2"/>
    </i>
    <i>
      <x v="3"/>
    </i>
    <i>
      <x v="5"/>
    </i>
    <i>
      <x v="9"/>
    </i>
    <i>
      <x v="11"/>
    </i>
    <i>
      <x v="6"/>
    </i>
    <i>
      <x v="7"/>
    </i>
    <i>
      <x v="4"/>
    </i>
    <i>
      <x/>
    </i>
    <i>
      <x v="1"/>
    </i>
    <i t="grand">
      <x/>
    </i>
  </rowItems>
  <colItems count="1">
    <i/>
  </colItems>
  <dataFields count="1">
    <dataField name="Count of Order_ID" fld="0" subtotal="count" baseField="0" baseItem="0"/>
  </dataFields>
  <chartFormats count="13">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1"/>
          </reference>
        </references>
      </pivotArea>
    </chartFormat>
    <chartFormat chart="4" format="4">
      <pivotArea type="data" outline="0" fieldPosition="0">
        <references count="2">
          <reference field="4294967294" count="1" selected="0">
            <x v="0"/>
          </reference>
          <reference field="7" count="1" selected="0">
            <x v="0"/>
          </reference>
        </references>
      </pivotArea>
    </chartFormat>
    <chartFormat chart="4" format="5">
      <pivotArea type="data" outline="0" fieldPosition="0">
        <references count="2">
          <reference field="4294967294" count="1" selected="0">
            <x v="0"/>
          </reference>
          <reference field="7" count="1" selected="0">
            <x v="7"/>
          </reference>
        </references>
      </pivotArea>
    </chartFormat>
    <chartFormat chart="4" format="6">
      <pivotArea type="data" outline="0" fieldPosition="0">
        <references count="2">
          <reference field="4294967294" count="1" selected="0">
            <x v="0"/>
          </reference>
          <reference field="7" count="1" selected="0">
            <x v="4"/>
          </reference>
        </references>
      </pivotArea>
    </chartFormat>
    <chartFormat chart="4" format="7">
      <pivotArea type="data" outline="0" fieldPosition="0">
        <references count="2">
          <reference field="4294967294" count="1" selected="0">
            <x v="0"/>
          </reference>
          <reference field="7" count="1" selected="0">
            <x v="6"/>
          </reference>
        </references>
      </pivotArea>
    </chartFormat>
    <chartFormat chart="4" format="8">
      <pivotArea type="data" outline="0" fieldPosition="0">
        <references count="2">
          <reference field="4294967294" count="1" selected="0">
            <x v="0"/>
          </reference>
          <reference field="7" count="1" selected="0">
            <x v="11"/>
          </reference>
        </references>
      </pivotArea>
    </chartFormat>
    <chartFormat chart="4" format="9">
      <pivotArea type="data" outline="0" fieldPosition="0">
        <references count="2">
          <reference field="4294967294" count="1" selected="0">
            <x v="0"/>
          </reference>
          <reference field="7" count="1" selected="0">
            <x v="9"/>
          </reference>
        </references>
      </pivotArea>
    </chartFormat>
    <chartFormat chart="4" format="10">
      <pivotArea type="data" outline="0" fieldPosition="0">
        <references count="2">
          <reference field="4294967294" count="1" selected="0">
            <x v="0"/>
          </reference>
          <reference field="7" count="1" selected="0">
            <x v="5"/>
          </reference>
        </references>
      </pivotArea>
    </chartFormat>
    <chartFormat chart="4" format="11">
      <pivotArea type="data" outline="0" fieldPosition="0">
        <references count="2">
          <reference field="4294967294" count="1" selected="0">
            <x v="0"/>
          </reference>
          <reference field="7" count="1" selected="0">
            <x v="3"/>
          </reference>
        </references>
      </pivotArea>
    </chartFormat>
    <chartFormat chart="4" format="12">
      <pivotArea type="data" outline="0" fieldPosition="0">
        <references count="2">
          <reference field="4294967294" count="1" selected="0">
            <x v="0"/>
          </reference>
          <reference field="7" count="1" selected="0">
            <x v="2"/>
          </reference>
        </references>
      </pivotArea>
    </chartFormat>
    <chartFormat chart="4" format="13">
      <pivotArea type="data" outline="0" fieldPosition="0">
        <references count="2">
          <reference field="4294967294" count="1" selected="0">
            <x v="0"/>
          </reference>
          <reference field="7" count="1" selected="0">
            <x v="8"/>
          </reference>
        </references>
      </pivotArea>
    </chartFormat>
    <chartFormat chart="4" format="14">
      <pivotArea type="data" outline="0" fieldPosition="0">
        <references count="2">
          <reference field="4294967294" count="1" selected="0">
            <x v="0"/>
          </reference>
          <reference field="7"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3569200-EBC6-4892-9A3B-DF52EFA8F4BC}" name="Highest Revenue 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Months">
  <location ref="I8:J21" firstHeaderRow="1" firstDataRow="1" firstDataCol="1"/>
  <pivotFields count="23">
    <pivotField showAll="0"/>
    <pivotField numFmtId="164" showAll="0"/>
    <pivotField showAll="0"/>
    <pivotField axis="axisRow" showAll="0" sortType="descending">
      <items count="13">
        <item x="9"/>
        <item x="7"/>
        <item x="10"/>
        <item x="4"/>
        <item x="3"/>
        <item x="11"/>
        <item x="1"/>
        <item x="6"/>
        <item x="8"/>
        <item x="5"/>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3"/>
  </rowFields>
  <rowItems count="13">
    <i>
      <x v="4"/>
    </i>
    <i>
      <x v="3"/>
    </i>
    <i>
      <x v="6"/>
    </i>
    <i>
      <x v="2"/>
    </i>
    <i>
      <x v="10"/>
    </i>
    <i>
      <x v="9"/>
    </i>
    <i>
      <x v="1"/>
    </i>
    <i>
      <x v="7"/>
    </i>
    <i>
      <x v="11"/>
    </i>
    <i>
      <x/>
    </i>
    <i>
      <x v="8"/>
    </i>
    <i>
      <x v="5"/>
    </i>
    <i t="grand">
      <x/>
    </i>
  </rowItems>
  <colItems count="1">
    <i/>
  </colItems>
  <dataFields count="1">
    <dataField name="Sum of Revenue" fld="17" baseField="0" baseItem="0" numFmtId="167"/>
  </dataFields>
  <formats count="1">
    <format dxfId="38">
      <pivotArea outline="0" collapsedLevelsAreSubtotals="1" fieldPosition="0"/>
    </format>
  </formats>
  <chartFormats count="13">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3" count="1" selected="0">
            <x v="6"/>
          </reference>
        </references>
      </pivotArea>
    </chartFormat>
    <chartFormat chart="7" format="4">
      <pivotArea type="data" outline="0" fieldPosition="0">
        <references count="2">
          <reference field="4294967294" count="1" selected="0">
            <x v="0"/>
          </reference>
          <reference field="3" count="1" selected="0">
            <x v="2"/>
          </reference>
        </references>
      </pivotArea>
    </chartFormat>
    <chartFormat chart="7" format="5">
      <pivotArea type="data" outline="0" fieldPosition="0">
        <references count="2">
          <reference field="4294967294" count="1" selected="0">
            <x v="0"/>
          </reference>
          <reference field="3" count="1" selected="0">
            <x v="10"/>
          </reference>
        </references>
      </pivotArea>
    </chartFormat>
    <chartFormat chart="7" format="6">
      <pivotArea type="data" outline="0" fieldPosition="0">
        <references count="2">
          <reference field="4294967294" count="1" selected="0">
            <x v="0"/>
          </reference>
          <reference field="3" count="1" selected="0">
            <x v="9"/>
          </reference>
        </references>
      </pivotArea>
    </chartFormat>
    <chartFormat chart="7" format="7">
      <pivotArea type="data" outline="0" fieldPosition="0">
        <references count="2">
          <reference field="4294967294" count="1" selected="0">
            <x v="0"/>
          </reference>
          <reference field="3" count="1" selected="0">
            <x v="1"/>
          </reference>
        </references>
      </pivotArea>
    </chartFormat>
    <chartFormat chart="7" format="8">
      <pivotArea type="data" outline="0" fieldPosition="0">
        <references count="2">
          <reference field="4294967294" count="1" selected="0">
            <x v="0"/>
          </reference>
          <reference field="3" count="1" selected="0">
            <x v="7"/>
          </reference>
        </references>
      </pivotArea>
    </chartFormat>
    <chartFormat chart="7" format="9">
      <pivotArea type="data" outline="0" fieldPosition="0">
        <references count="2">
          <reference field="4294967294" count="1" selected="0">
            <x v="0"/>
          </reference>
          <reference field="3" count="1" selected="0">
            <x v="11"/>
          </reference>
        </references>
      </pivotArea>
    </chartFormat>
    <chartFormat chart="7" format="10">
      <pivotArea type="data" outline="0" fieldPosition="0">
        <references count="2">
          <reference field="4294967294" count="1" selected="0">
            <x v="0"/>
          </reference>
          <reference field="3" count="1" selected="0">
            <x v="0"/>
          </reference>
        </references>
      </pivotArea>
    </chartFormat>
    <chartFormat chart="7" format="11">
      <pivotArea type="data" outline="0" fieldPosition="0">
        <references count="2">
          <reference field="4294967294" count="1" selected="0">
            <x v="0"/>
          </reference>
          <reference field="3" count="1" selected="0">
            <x v="8"/>
          </reference>
        </references>
      </pivotArea>
    </chartFormat>
    <chartFormat chart="7" format="12">
      <pivotArea type="data" outline="0" fieldPosition="0">
        <references count="2">
          <reference field="4294967294" count="1" selected="0">
            <x v="0"/>
          </reference>
          <reference field="3" count="1" selected="0">
            <x v="5"/>
          </reference>
        </references>
      </pivotArea>
    </chartFormat>
    <chartFormat chart="7" format="13">
      <pivotArea type="data" outline="0" fieldPosition="0">
        <references count="2">
          <reference field="4294967294" count="1" selected="0">
            <x v="0"/>
          </reference>
          <reference field="3" count="1" selected="0">
            <x v="3"/>
          </reference>
        </references>
      </pivotArea>
    </chartFormat>
    <chartFormat chart="7" format="1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B3F5138-667C-41FF-B9F0-A7290103ADDB}" name="PivotTable1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rowHeaderCaption="Discount">
  <location ref="I72:K83" firstHeaderRow="1" firstDataRow="1" firstDataCol="2"/>
  <pivotFields count="23">
    <pivotField compact="0"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5">
        <item x="2"/>
        <item x="0"/>
        <item sd="0" x="3"/>
        <item sd="0"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
        <item x="1"/>
        <item x="0"/>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6" outline="0" showAll="0">
      <extLst>
        <ext xmlns:x14="http://schemas.microsoft.com/office/spreadsheetml/2009/9/main" uri="{2946ED86-A175-432a-8AC1-64E0C546D7DE}">
          <x14:pivotField fillDownLabels="1"/>
        </ext>
      </extLst>
    </pivotField>
    <pivotField compact="0" numFmtId="166" outline="0" showAll="0">
      <extLst>
        <ext xmlns:x14="http://schemas.microsoft.com/office/spreadsheetml/2009/9/main" uri="{2946ED86-A175-432a-8AC1-64E0C546D7DE}">
          <x14:pivotField fillDownLabels="1"/>
        </ext>
      </extLst>
    </pivotField>
    <pivotField compact="0" numFmtId="166" outline="0" showAll="0">
      <extLst>
        <ext xmlns:x14="http://schemas.microsoft.com/office/spreadsheetml/2009/9/main" uri="{2946ED86-A175-432a-8AC1-64E0C546D7DE}">
          <x14:pivotField fillDownLabels="1"/>
        </ext>
      </extLst>
    </pivotField>
    <pivotField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s>
  <rowFields count="2">
    <field x="6"/>
    <field x="10"/>
  </rowFields>
  <rowItems count="11">
    <i>
      <x/>
      <x/>
    </i>
    <i r="1">
      <x v="1"/>
    </i>
    <i r="1">
      <x v="2"/>
    </i>
    <i t="default">
      <x/>
    </i>
    <i>
      <x v="1"/>
      <x/>
    </i>
    <i r="1">
      <x v="1"/>
    </i>
    <i r="1">
      <x v="2"/>
    </i>
    <i t="default">
      <x v="1"/>
    </i>
    <i>
      <x v="2"/>
    </i>
    <i>
      <x v="3"/>
    </i>
    <i t="grand">
      <x/>
    </i>
  </rowItems>
  <colItems count="1">
    <i/>
  </colItems>
  <dataFields count="1">
    <dataField name="Average of Delivery_Days" fld="21" subtotal="average" baseField="9"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9131EB2-4E27-4DC1-BF86-9BC11CBB072C}" name=" Region Profit Analysi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Region">
  <location ref="A24:B29" firstHeaderRow="1" firstDataRow="1" firstDataCol="1"/>
  <pivotFields count="23">
    <pivotField showAll="0"/>
    <pivotField numFmtId="164" showAll="0"/>
    <pivotField showAll="0"/>
    <pivotField showAll="0"/>
    <pivotField showAll="0"/>
    <pivotField showAll="0"/>
    <pivotField axis="axisRow" showAll="0" sortType="descending">
      <items count="5">
        <item x="2"/>
        <item x="0"/>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 showAll="0"/>
    <pivotField numFmtId="166" showAll="0"/>
    <pivotField numFmtId="10" showAll="0"/>
    <pivotField numFmtId="166" showAll="0"/>
    <pivotField numFmtId="166" showAll="0"/>
    <pivotField numFmtId="166" showAll="0"/>
    <pivotField dataField="1" numFmtId="166" showAll="0"/>
    <pivotField numFmtId="10" showAll="0"/>
    <pivotField numFmtId="1" showAll="0"/>
    <pivotField numFmtId="165" showAll="0"/>
  </pivotFields>
  <rowFields count="1">
    <field x="6"/>
  </rowFields>
  <rowItems count="5">
    <i>
      <x v="1"/>
    </i>
    <i>
      <x v="2"/>
    </i>
    <i>
      <x/>
    </i>
    <i>
      <x v="3"/>
    </i>
    <i t="grand">
      <x/>
    </i>
  </rowItems>
  <colItems count="1">
    <i/>
  </colItems>
  <dataFields count="1">
    <dataField name="Sum of Profit" fld="19" baseField="0" baseItem="0" numFmtId="167"/>
  </dataFields>
  <formats count="1">
    <format dxfId="39">
      <pivotArea outline="0" collapsedLevelsAreSubtotals="1" fieldPosition="0"/>
    </format>
  </formats>
  <chartFormats count="1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6" count="1" selected="0">
            <x v="2"/>
          </reference>
        </references>
      </pivotArea>
    </chartFormat>
    <chartFormat chart="3" format="10">
      <pivotArea type="data" outline="0" fieldPosition="0">
        <references count="2">
          <reference field="4294967294" count="1" selected="0">
            <x v="0"/>
          </reference>
          <reference field="6" count="1" selected="0">
            <x v="0"/>
          </reference>
        </references>
      </pivotArea>
    </chartFormat>
    <chartFormat chart="3" format="11">
      <pivotArea type="data" outline="0" fieldPosition="0">
        <references count="2">
          <reference field="4294967294" count="1" selected="0">
            <x v="0"/>
          </reference>
          <reference field="6" count="1" selected="0">
            <x v="3"/>
          </reference>
        </references>
      </pivotArea>
    </chartFormat>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6" count="1" selected="0">
            <x v="1"/>
          </reference>
        </references>
      </pivotArea>
    </chartFormat>
    <chartFormat chart="10" format="2">
      <pivotArea type="data" outline="0" fieldPosition="0">
        <references count="2">
          <reference field="4294967294" count="1" selected="0">
            <x v="0"/>
          </reference>
          <reference field="6" count="1" selected="0">
            <x v="2"/>
          </reference>
        </references>
      </pivotArea>
    </chartFormat>
    <chartFormat chart="10" format="3">
      <pivotArea type="data" outline="0" fieldPosition="0">
        <references count="2">
          <reference field="4294967294" count="1" selected="0">
            <x v="0"/>
          </reference>
          <reference field="6" count="1" selected="0">
            <x v="0"/>
          </reference>
        </references>
      </pivotArea>
    </chartFormat>
    <chartFormat chart="10" format="4">
      <pivotArea type="data" outline="0" fieldPosition="0">
        <references count="2">
          <reference field="4294967294" count="1" selected="0">
            <x v="0"/>
          </reference>
          <reference field="6"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6" count="1" selected="0">
            <x v="1"/>
          </reference>
        </references>
      </pivotArea>
    </chartFormat>
    <chartFormat chart="15" format="12">
      <pivotArea type="data" outline="0" fieldPosition="0">
        <references count="2">
          <reference field="4294967294" count="1" selected="0">
            <x v="0"/>
          </reference>
          <reference field="6" count="1" selected="0">
            <x v="2"/>
          </reference>
        </references>
      </pivotArea>
    </chartFormat>
    <chartFormat chart="15" format="13">
      <pivotArea type="data" outline="0" fieldPosition="0">
        <references count="2">
          <reference field="4294967294" count="1" selected="0">
            <x v="0"/>
          </reference>
          <reference field="6" count="1" selected="0">
            <x v="0"/>
          </reference>
        </references>
      </pivotArea>
    </chartFormat>
    <chartFormat chart="15" format="14">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8FEFCA2-20C8-48DA-BF13-9B6395146E7D}" name="Sales Channel Performanc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Region">
  <location ref="I24:J28" firstHeaderRow="1" firstDataRow="1" firstDataCol="1"/>
  <pivotFields count="23">
    <pivotField showAll="0"/>
    <pivotField numFmtId="164"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10"/>
  </rowFields>
  <rowItems count="4">
    <i>
      <x/>
    </i>
    <i>
      <x v="1"/>
    </i>
    <i>
      <x v="2"/>
    </i>
    <i t="grand">
      <x/>
    </i>
  </rowItems>
  <colItems count="1">
    <i/>
  </colItems>
  <dataFields count="1">
    <dataField name="Sum of Revenue" fld="17" baseField="0" baseItem="0" numFmtId="167"/>
  </dataFields>
  <formats count="1">
    <format dxfId="40">
      <pivotArea outline="0" collapsedLevelsAreSubtotals="1" fieldPosition="0"/>
    </format>
  </formats>
  <chartFormats count="4">
    <chartFormat chart="5" format="13" series="1">
      <pivotArea type="data" outline="0" fieldPosition="0">
        <references count="1">
          <reference field="4294967294" count="1" selected="0">
            <x v="0"/>
          </reference>
        </references>
      </pivotArea>
    </chartFormat>
    <chartFormat chart="5" format="14">
      <pivotArea type="data" outline="0" fieldPosition="0">
        <references count="2">
          <reference field="4294967294" count="1" selected="0">
            <x v="0"/>
          </reference>
          <reference field="10" count="1" selected="0">
            <x v="0"/>
          </reference>
        </references>
      </pivotArea>
    </chartFormat>
    <chartFormat chart="5" format="15">
      <pivotArea type="data" outline="0" fieldPosition="0">
        <references count="2">
          <reference field="4294967294" count="1" selected="0">
            <x v="0"/>
          </reference>
          <reference field="10" count="1" selected="0">
            <x v="1"/>
          </reference>
        </references>
      </pivotArea>
    </chartFormat>
    <chartFormat chart="5" format="16">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A977437-1E22-489D-A80C-D48B89609F05}" name="Total Reven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3">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Items count="1">
    <i/>
  </rowItems>
  <colItems count="1">
    <i/>
  </colItems>
  <dataFields count="1">
    <dataField name="Total Revenue" fld="17" baseField="0" baseItem="0" numFmtId="167"/>
  </dataFields>
  <formats count="1">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04173BC-58E5-41A7-AA3C-AAE8E565B30B}"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ales_Rep">
  <location ref="I43:J50" firstHeaderRow="1" firstDataRow="1" firstDataCol="1"/>
  <pivotFields count="23">
    <pivotField showAll="0"/>
    <pivotField numFmtId="164" showAll="0"/>
    <pivotField showAll="0"/>
    <pivotField showAll="0"/>
    <pivotField showAll="0"/>
    <pivotField showAll="0"/>
    <pivotField showAll="0"/>
    <pivotField showAll="0"/>
    <pivotField showAll="0"/>
    <pivotField showAll="0"/>
    <pivotField showAll="0"/>
    <pivotField showAll="0"/>
    <pivotField axis="axisRow" showAll="0" sortType="descending">
      <items count="7">
        <item x="4"/>
        <item x="3"/>
        <item x="5"/>
        <item x="2"/>
        <item x="0"/>
        <item x="1"/>
        <item t="default"/>
      </items>
      <autoSortScope>
        <pivotArea dataOnly="0" outline="0" fieldPosition="0">
          <references count="1">
            <reference field="4294967294" count="1" selected="0">
              <x v="0"/>
            </reference>
          </references>
        </pivotArea>
      </autoSortScope>
    </pivotField>
    <pivotField numFmtId="1" showAll="0"/>
    <pivotField numFmtId="166" showAll="0"/>
    <pivotField numFmtId="10" showAll="0"/>
    <pivotField numFmtId="166" showAll="0"/>
    <pivotField dataField="1" numFmtId="166" showAll="0"/>
    <pivotField numFmtId="166" showAll="0"/>
    <pivotField numFmtId="166" showAll="0"/>
    <pivotField numFmtId="10" showAll="0"/>
    <pivotField numFmtId="1" showAll="0"/>
    <pivotField numFmtId="165" showAll="0"/>
  </pivotFields>
  <rowFields count="1">
    <field x="12"/>
  </rowFields>
  <rowItems count="7">
    <i>
      <x v="3"/>
    </i>
    <i>
      <x v="5"/>
    </i>
    <i>
      <x/>
    </i>
    <i>
      <x v="2"/>
    </i>
    <i>
      <x v="4"/>
    </i>
    <i>
      <x v="1"/>
    </i>
    <i t="grand">
      <x/>
    </i>
  </rowItems>
  <colItems count="1">
    <i/>
  </colItems>
  <dataFields count="1">
    <dataField name="Sum of Revenue" fld="17" baseField="0" baseItem="0" numFmtId="167"/>
  </dataFields>
  <formats count="1">
    <format dxfId="42">
      <pivotArea outline="0" collapsedLevelsAreSubtotals="1" fieldPosition="0"/>
    </format>
  </formats>
  <chartFormats count="14">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2" count="1" selected="0">
            <x v="3"/>
          </reference>
        </references>
      </pivotArea>
    </chartFormat>
    <chartFormat chart="2" format="9">
      <pivotArea type="data" outline="0" fieldPosition="0">
        <references count="2">
          <reference field="4294967294" count="1" selected="0">
            <x v="0"/>
          </reference>
          <reference field="12" count="1" selected="0">
            <x v="5"/>
          </reference>
        </references>
      </pivotArea>
    </chartFormat>
    <chartFormat chart="2" format="10">
      <pivotArea type="data" outline="0" fieldPosition="0">
        <references count="2">
          <reference field="4294967294" count="1" selected="0">
            <x v="0"/>
          </reference>
          <reference field="12" count="1" selected="0">
            <x v="0"/>
          </reference>
        </references>
      </pivotArea>
    </chartFormat>
    <chartFormat chart="2" format="11">
      <pivotArea type="data" outline="0" fieldPosition="0">
        <references count="2">
          <reference field="4294967294" count="1" selected="0">
            <x v="0"/>
          </reference>
          <reference field="12" count="1" selected="0">
            <x v="2"/>
          </reference>
        </references>
      </pivotArea>
    </chartFormat>
    <chartFormat chart="2" format="12">
      <pivotArea type="data" outline="0" fieldPosition="0">
        <references count="2">
          <reference field="4294967294" count="1" selected="0">
            <x v="0"/>
          </reference>
          <reference field="12" count="1" selected="0">
            <x v="4"/>
          </reference>
        </references>
      </pivotArea>
    </chartFormat>
    <chartFormat chart="2" format="13">
      <pivotArea type="data" outline="0" fieldPosition="0">
        <references count="2">
          <reference field="4294967294" count="1" selected="0">
            <x v="0"/>
          </reference>
          <reference field="12" count="1" selected="0">
            <x v="1"/>
          </reference>
        </references>
      </pivotArea>
    </chartFormat>
    <chartFormat chart="3" format="14" series="1">
      <pivotArea type="data" outline="0" fieldPosition="0">
        <references count="1">
          <reference field="4294967294" count="1" selected="0">
            <x v="0"/>
          </reference>
        </references>
      </pivotArea>
    </chartFormat>
    <chartFormat chart="3" format="15">
      <pivotArea type="data" outline="0" fieldPosition="0">
        <references count="2">
          <reference field="4294967294" count="1" selected="0">
            <x v="0"/>
          </reference>
          <reference field="12" count="1" selected="0">
            <x v="3"/>
          </reference>
        </references>
      </pivotArea>
    </chartFormat>
    <chartFormat chart="3" format="16">
      <pivotArea type="data" outline="0" fieldPosition="0">
        <references count="2">
          <reference field="4294967294" count="1" selected="0">
            <x v="0"/>
          </reference>
          <reference field="12" count="1" selected="0">
            <x v="5"/>
          </reference>
        </references>
      </pivotArea>
    </chartFormat>
    <chartFormat chart="3" format="17">
      <pivotArea type="data" outline="0" fieldPosition="0">
        <references count="2">
          <reference field="4294967294" count="1" selected="0">
            <x v="0"/>
          </reference>
          <reference field="12" count="1" selected="0">
            <x v="0"/>
          </reference>
        </references>
      </pivotArea>
    </chartFormat>
    <chartFormat chart="3" format="18">
      <pivotArea type="data" outline="0" fieldPosition="0">
        <references count="2">
          <reference field="4294967294" count="1" selected="0">
            <x v="0"/>
          </reference>
          <reference field="12" count="1" selected="0">
            <x v="2"/>
          </reference>
        </references>
      </pivotArea>
    </chartFormat>
    <chartFormat chart="3" format="19">
      <pivotArea type="data" outline="0" fieldPosition="0">
        <references count="2">
          <reference field="4294967294" count="1" selected="0">
            <x v="0"/>
          </reference>
          <reference field="12" count="1" selected="0">
            <x v="4"/>
          </reference>
        </references>
      </pivotArea>
    </chartFormat>
    <chartFormat chart="3" format="20">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CB4458C-59BE-42C0-A596-7DEE451E2347}" sourceName="Region">
  <pivotTables>
    <pivotTable tabId="6" name="PivotTable17"/>
  </pivotTables>
  <data>
    <tabular pivotCacheId="385564794">
      <items count="4">
        <i x="2" s="1"/>
        <i x="0"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46B7AC8-AC62-4B09-89D5-DF14ADBC7604}" sourceName="Category">
  <pivotTables>
    <pivotTable tabId="6" name="PivotTable17"/>
  </pivotTables>
  <data>
    <tabular pivotCacheId="385564794">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8AE41C2D-3234-4794-9E37-D95C7528EA73}" sourceName="Sales_Channel">
  <pivotTables>
    <pivotTable tabId="6" name="PivotTable17"/>
  </pivotTables>
  <data>
    <tabular pivotCacheId="385564794">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433EB463-BF9C-4BDB-8262-2B9CEC535130}" sourceName="Customer_Segment">
  <pivotTables>
    <pivotTable tabId="6" name="PivotTable17"/>
  </pivotTables>
  <data>
    <tabular pivotCacheId="385564794">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4C9A3A27-07C9-4915-8371-8047259947E7}" sourceName="Sales_Rep">
  <pivotTables>
    <pivotTable tabId="6" name="PivotTable17"/>
  </pivotTables>
  <data>
    <tabular pivotCacheId="385564794">
      <items count="6">
        <i x="4" s="1"/>
        <i x="3" s="1"/>
        <i x="5" s="1"/>
        <i x="2"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B7C3F02-F228-4C41-90F5-761BCAEC11FA}" sourceName="Payment_Method">
  <pivotTables>
    <pivotTable tabId="6" name="PivotTable17"/>
  </pivotTables>
  <data>
    <tabular pivotCacheId="385564794">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FFC3B3D-1219-4E88-98B0-D36F718A1CD1}" cache="Slicer_Region" caption="Region" columnCount="4" style="Slicer Style 1" rowHeight="1097280"/>
  <slicer name="Category" xr10:uid="{5D2941DF-7CBD-4224-AA03-31DCB0147E7D}" cache="Slicer_Category" caption="Category" columnCount="4" style="Slicer Style 1" rowHeight="1188720"/>
  <slicer name="Sales_Channel" xr10:uid="{E1190EF3-7E2B-4651-9864-6272AACABCB1}" cache="Slicer_Sales_Channel" caption="Sales_Channel" columnCount="3" style="Slicer Style 1" rowHeight="1097280"/>
  <slicer name="Customer_Segment" xr10:uid="{45FE8A9D-B8A0-4842-9673-021027B75E76}" cache="Slicer_Customer_Segment" caption="Customer_Segment" columnCount="3" style="Slicer Style 1" rowHeight="1097280"/>
  <slicer name="Sales_Rep" xr10:uid="{2A367C69-E960-41DE-8638-424992D8B9E4}" cache="Slicer_Sales_Rep" caption="Sales_Rep" columnCount="3" style="Slicer Style 1" rowHeight="548640"/>
  <slicer name="Payment_Method" xr10:uid="{405CE6D4-0040-42E1-94CB-8AF717D9D4EB}" cache="Slicer_Payment_Method" caption="Payment_Method" columnCount="2" style="Slicer Style 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76EFAFF-A61E-4607-AB94-B98F1DC1EC90}" cache="Slicer_Region" caption="Region" columnCount="4" style="Slicer Style 1" rowHeight="1097280"/>
  <slicer name="Category 1" xr10:uid="{DFCE6470-FB90-41CE-A9D3-8B3B4CF3DB86}" cache="Slicer_Category" caption="Category" columnCount="4" style="Slicer Style 1" rowHeight="1188720"/>
  <slicer name="Sales_Channel 1" xr10:uid="{95547236-14DD-4753-90DC-3EA292717272}" cache="Slicer_Sales_Channel" caption="Sales_Channel" columnCount="3" style="Slicer Style 1" rowHeight="1097280"/>
  <slicer name="Customer_Segment 1" xr10:uid="{1C0EAB77-AA54-49A9-838A-58D7EE85166B}" cache="Slicer_Customer_Segment" caption="Customer_Segment" columnCount="3" style="Slicer Style 1" rowHeight="1097280"/>
  <slicer name="Sales_Rep 1" xr10:uid="{A2D7FC91-7E85-48A4-AC98-2F60691ABDE0}" cache="Slicer_Sales_Rep" caption="Sales_Rep" columnCount="3" style="Slicer Style 1" rowHeight="548640"/>
  <slicer name="Payment_Method 1" xr10:uid="{1FD824CC-503D-47B3-BEE7-07517D5C24FD}" cache="Slicer_Payment_Method" caption="Payment_Method" columnCount="2" style="Slicer Style 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ashboardQuestionsTable" displayName="DashboardQuestionsTable" ref="A1:D21">
  <tableColumns count="4">
    <tableColumn id="1" xr3:uid="{00000000-0010-0000-0100-000001000000}" name="No."/>
    <tableColumn id="2" xr3:uid="{00000000-0010-0000-0100-000002000000}" name="Question"/>
    <tableColumn id="3" xr3:uid="{00000000-0010-0000-0100-000003000000}" name="Dashboard Element to Use"/>
    <tableColumn id="4" xr3:uid="{00000000-0010-0000-0100-000004000000}" name="Beginner Hi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Table" displayName="SalesDataTable" ref="A1:W241">
  <tableColumns count="23">
    <tableColumn id="1" xr3:uid="{00000000-0010-0000-0000-000001000000}" name="Order_ID" dataDxfId="64"/>
    <tableColumn id="2" xr3:uid="{00000000-0010-0000-0000-000002000000}" name="Order_Date" dataDxfId="63"/>
    <tableColumn id="24" xr3:uid="{B3F7F927-2E87-4604-AC40-E7B1D1ACA9BA}" name="Year" dataDxfId="62">
      <calculatedColumnFormula>TEXT(SalesDataTable[[#This Row],[Order_Date]],"YYYY")</calculatedColumnFormula>
    </tableColumn>
    <tableColumn id="22" xr3:uid="{8DB1142B-E952-48BC-94CB-461377616378}" name="Month Name" dataDxfId="61">
      <calculatedColumnFormula>TEXT(SalesDataTable[[#This Row],[Order_Date]],"MMM")</calculatedColumnFormula>
    </tableColumn>
    <tableColumn id="3" xr3:uid="{00000000-0010-0000-0000-000003000000}" name="Month"/>
    <tableColumn id="4" xr3:uid="{00000000-0010-0000-0000-000004000000}" name="Customer_Segment" dataDxfId="60"/>
    <tableColumn id="5" xr3:uid="{00000000-0010-0000-0000-000005000000}" name="Region" dataDxfId="59"/>
    <tableColumn id="6" xr3:uid="{00000000-0010-0000-0000-000006000000}" name="City" dataDxfId="58"/>
    <tableColumn id="7" xr3:uid="{00000000-0010-0000-0000-000007000000}" name="Category" dataDxfId="57"/>
    <tableColumn id="8" xr3:uid="{00000000-0010-0000-0000-000008000000}" name="Product" dataDxfId="56"/>
    <tableColumn id="9" xr3:uid="{00000000-0010-0000-0000-000009000000}" name="Sales_Channel" dataDxfId="55"/>
    <tableColumn id="10" xr3:uid="{00000000-0010-0000-0000-00000A000000}" name="Payment_Method" dataDxfId="54"/>
    <tableColumn id="11" xr3:uid="{00000000-0010-0000-0000-00000B000000}" name="Sales_Rep" dataDxfId="53"/>
    <tableColumn id="12" xr3:uid="{00000000-0010-0000-0000-00000C000000}" name="Units_Sold" dataDxfId="52"/>
    <tableColumn id="13" xr3:uid="{00000000-0010-0000-0000-00000D000000}" name="Unit_Price" dataDxfId="51"/>
    <tableColumn id="14" xr3:uid="{00000000-0010-0000-0000-00000E000000}" name="Discount_Pct" dataDxfId="50"/>
    <tableColumn id="15" xr3:uid="{00000000-0010-0000-0000-00000F000000}" name="Unit_Cost" dataDxfId="49"/>
    <tableColumn id="16" xr3:uid="{00000000-0010-0000-0000-000010000000}" name="Revenue" dataDxfId="48"/>
    <tableColumn id="17" xr3:uid="{00000000-0010-0000-0000-000011000000}" name="Total_Cost" dataDxfId="47"/>
    <tableColumn id="18" xr3:uid="{00000000-0010-0000-0000-000012000000}" name="Profit" dataDxfId="46"/>
    <tableColumn id="19" xr3:uid="{00000000-0010-0000-0000-000013000000}" name="Profit_Margin" dataDxfId="45"/>
    <tableColumn id="20" xr3:uid="{00000000-0010-0000-0000-000014000000}" name="Delivery_Days" dataDxfId="44"/>
    <tableColumn id="21" xr3:uid="{00000000-0010-0000-0000-000015000000}" name="Customer_Rating" dataDxfId="43"/>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950C8088-BF24-45C8-A891-844D6CE9FF71}" sourceName="Order_Date">
  <pivotTables>
    <pivotTable tabId="6" name="PivotTable17"/>
  </pivotTables>
  <state minimalRefreshVersion="6" lastRefreshVersion="6" pivotCacheId="385564794" filterType="dateBetween">
    <selection startDate="2025-07-01T00:00:00" endDate="2025-07-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A0ABFD79-2120-4B1F-B244-534BF04CC1E7}" cache="NativeTimeline_Order_Date" caption="Order_Date" level="2" selectionLevel="2" scrollPosition="2025-01-01T00:00:00" style="Timeline Style 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4597D911-7E54-4079-8787-CCE6154EBE2A}" cache="NativeTimeline_Order_Date" caption="Order_Date" level="2" selectionLevel="2" scrollPosition="2025-01-01T00:00:00" style="Timeline Style 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1/relationships/timeline" Target="../timelines/timeline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21"/>
  <sheetViews>
    <sheetView zoomScale="85" zoomScaleNormal="85" workbookViewId="0">
      <selection activeCell="G4" sqref="G4"/>
    </sheetView>
  </sheetViews>
  <sheetFormatPr defaultRowHeight="14"/>
  <cols>
    <col min="1" max="1" width="8" customWidth="1"/>
    <col min="2" max="2" width="48" customWidth="1"/>
    <col min="3" max="3" width="30" customWidth="1"/>
    <col min="4" max="4" width="50" customWidth="1"/>
  </cols>
  <sheetData>
    <row r="1" spans="1:4">
      <c r="A1" s="1" t="s">
        <v>326</v>
      </c>
      <c r="B1" s="1" t="s">
        <v>327</v>
      </c>
      <c r="C1" s="1" t="s">
        <v>328</v>
      </c>
      <c r="D1" s="1" t="s">
        <v>329</v>
      </c>
    </row>
    <row r="2" spans="1:4">
      <c r="A2" s="5">
        <v>1</v>
      </c>
      <c r="B2" s="5" t="s">
        <v>330</v>
      </c>
      <c r="C2" s="5" t="s">
        <v>331</v>
      </c>
      <c r="D2" s="5" t="s">
        <v>332</v>
      </c>
    </row>
    <row r="3" spans="1:4">
      <c r="A3" s="5">
        <v>2</v>
      </c>
      <c r="B3" s="5" t="s">
        <v>333</v>
      </c>
      <c r="C3" s="5" t="s">
        <v>331</v>
      </c>
      <c r="D3" s="5" t="s">
        <v>334</v>
      </c>
    </row>
    <row r="4" spans="1:4">
      <c r="A4" s="5">
        <v>3</v>
      </c>
      <c r="B4" s="5" t="s">
        <v>335</v>
      </c>
      <c r="C4" s="5" t="s">
        <v>331</v>
      </c>
      <c r="D4" s="5" t="s">
        <v>336</v>
      </c>
    </row>
    <row r="5" spans="1:4">
      <c r="A5" s="5">
        <v>4</v>
      </c>
      <c r="B5" s="5" t="s">
        <v>337</v>
      </c>
      <c r="C5" s="5" t="s">
        <v>338</v>
      </c>
      <c r="D5" s="5" t="s">
        <v>339</v>
      </c>
    </row>
    <row r="6" spans="1:4">
      <c r="A6" s="5">
        <v>5</v>
      </c>
      <c r="B6" s="5" t="s">
        <v>340</v>
      </c>
      <c r="C6" s="5" t="s">
        <v>341</v>
      </c>
      <c r="D6" s="5" t="s">
        <v>342</v>
      </c>
    </row>
    <row r="7" spans="1:4">
      <c r="A7" s="5">
        <v>6</v>
      </c>
      <c r="B7" s="5" t="s">
        <v>343</v>
      </c>
      <c r="C7" s="5" t="s">
        <v>344</v>
      </c>
      <c r="D7" s="5" t="s">
        <v>345</v>
      </c>
    </row>
    <row r="8" spans="1:4">
      <c r="A8" s="5">
        <v>7</v>
      </c>
      <c r="B8" s="5" t="s">
        <v>346</v>
      </c>
      <c r="C8" s="5" t="s">
        <v>347</v>
      </c>
      <c r="D8" s="5" t="s">
        <v>348</v>
      </c>
    </row>
    <row r="9" spans="1:4" ht="28">
      <c r="A9" s="5">
        <v>8</v>
      </c>
      <c r="B9" s="5" t="s">
        <v>349</v>
      </c>
      <c r="C9" s="5" t="s">
        <v>341</v>
      </c>
      <c r="D9" s="5" t="s">
        <v>350</v>
      </c>
    </row>
    <row r="10" spans="1:4">
      <c r="A10" s="5">
        <v>9</v>
      </c>
      <c r="B10" s="5" t="s">
        <v>351</v>
      </c>
      <c r="C10" s="5" t="s">
        <v>331</v>
      </c>
      <c r="D10" s="5" t="s">
        <v>352</v>
      </c>
    </row>
    <row r="11" spans="1:4">
      <c r="A11" s="5">
        <v>10</v>
      </c>
      <c r="B11" s="5" t="s">
        <v>353</v>
      </c>
      <c r="C11" s="5" t="s">
        <v>354</v>
      </c>
      <c r="D11" s="5" t="s">
        <v>355</v>
      </c>
    </row>
    <row r="12" spans="1:4">
      <c r="A12" s="5">
        <v>11</v>
      </c>
      <c r="B12" s="5" t="s">
        <v>356</v>
      </c>
      <c r="C12" s="5" t="s">
        <v>357</v>
      </c>
      <c r="D12" s="5" t="s">
        <v>358</v>
      </c>
    </row>
    <row r="13" spans="1:4">
      <c r="A13" s="5">
        <v>12</v>
      </c>
      <c r="B13" s="5" t="s">
        <v>359</v>
      </c>
      <c r="C13" s="5" t="s">
        <v>360</v>
      </c>
      <c r="D13" s="5" t="s">
        <v>361</v>
      </c>
    </row>
    <row r="14" spans="1:4">
      <c r="A14" s="5">
        <v>13</v>
      </c>
      <c r="B14" s="5" t="s">
        <v>362</v>
      </c>
      <c r="C14" s="5" t="s">
        <v>363</v>
      </c>
      <c r="D14" s="5" t="s">
        <v>364</v>
      </c>
    </row>
    <row r="15" spans="1:4">
      <c r="A15" s="5">
        <v>14</v>
      </c>
      <c r="B15" s="5" t="s">
        <v>365</v>
      </c>
      <c r="C15" s="5" t="s">
        <v>366</v>
      </c>
      <c r="D15" s="5" t="s">
        <v>367</v>
      </c>
    </row>
    <row r="16" spans="1:4">
      <c r="A16" s="5">
        <v>15</v>
      </c>
      <c r="B16" s="5" t="s">
        <v>368</v>
      </c>
      <c r="C16" s="5" t="s">
        <v>331</v>
      </c>
      <c r="D16" s="5" t="s">
        <v>369</v>
      </c>
    </row>
    <row r="17" spans="1:4">
      <c r="A17" s="5">
        <v>16</v>
      </c>
      <c r="B17" s="5" t="s">
        <v>370</v>
      </c>
      <c r="C17" s="5" t="s">
        <v>341</v>
      </c>
      <c r="D17" s="5" t="s">
        <v>371</v>
      </c>
    </row>
    <row r="18" spans="1:4" ht="28">
      <c r="A18" s="5">
        <v>17</v>
      </c>
      <c r="B18" s="5" t="s">
        <v>372</v>
      </c>
      <c r="C18" s="5" t="s">
        <v>373</v>
      </c>
      <c r="D18" s="5" t="s">
        <v>374</v>
      </c>
    </row>
    <row r="19" spans="1:4">
      <c r="A19" s="5">
        <v>18</v>
      </c>
      <c r="B19" s="5" t="s">
        <v>375</v>
      </c>
      <c r="C19" s="5" t="s">
        <v>376</v>
      </c>
      <c r="D19" s="5" t="s">
        <v>377</v>
      </c>
    </row>
    <row r="20" spans="1:4">
      <c r="A20" s="5">
        <v>19</v>
      </c>
      <c r="B20" s="5" t="s">
        <v>378</v>
      </c>
      <c r="C20" s="5" t="s">
        <v>379</v>
      </c>
      <c r="D20" s="5" t="s">
        <v>380</v>
      </c>
    </row>
    <row r="21" spans="1:4" ht="28">
      <c r="A21" s="5">
        <v>20</v>
      </c>
      <c r="B21" s="5" t="s">
        <v>381</v>
      </c>
      <c r="C21" s="5" t="s">
        <v>382</v>
      </c>
      <c r="D21" s="5" t="s">
        <v>383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16"/>
  <sheetViews>
    <sheetView workbookViewId="0"/>
  </sheetViews>
  <sheetFormatPr defaultRowHeight="14"/>
  <cols>
    <col min="1" max="1" width="95" customWidth="1"/>
  </cols>
  <sheetData>
    <row r="1" spans="1:1" ht="22" customHeight="1">
      <c r="A1" s="4" t="s">
        <v>0</v>
      </c>
    </row>
    <row r="2" spans="1:1" ht="22" customHeight="1">
      <c r="A2" s="5"/>
    </row>
    <row r="3" spans="1:1" ht="22" customHeight="1">
      <c r="A3" s="6" t="s">
        <v>1</v>
      </c>
    </row>
    <row r="4" spans="1:1" ht="22" customHeight="1">
      <c r="A4" s="5" t="s">
        <v>2</v>
      </c>
    </row>
    <row r="5" spans="1:1" ht="22" customHeight="1">
      <c r="A5" s="5" t="s">
        <v>3</v>
      </c>
    </row>
    <row r="6" spans="1:1" ht="22" customHeight="1">
      <c r="A6" s="5" t="s">
        <v>4</v>
      </c>
    </row>
    <row r="7" spans="1:1" ht="22" customHeight="1">
      <c r="A7" s="5" t="s">
        <v>5</v>
      </c>
    </row>
    <row r="8" spans="1:1" ht="22" customHeight="1">
      <c r="A8" s="5"/>
    </row>
    <row r="9" spans="1:1" ht="22" customHeight="1">
      <c r="A9" s="6" t="s">
        <v>6</v>
      </c>
    </row>
    <row r="10" spans="1:1" ht="22" customHeight="1">
      <c r="A10" s="5" t="s">
        <v>7</v>
      </c>
    </row>
    <row r="11" spans="1:1" ht="22" customHeight="1">
      <c r="A11" s="5" t="s">
        <v>8</v>
      </c>
    </row>
    <row r="12" spans="1:1" ht="22" customHeight="1">
      <c r="A12" s="5" t="s">
        <v>9</v>
      </c>
    </row>
    <row r="13" spans="1:1" ht="22" customHeight="1">
      <c r="A13" s="5" t="s">
        <v>10</v>
      </c>
    </row>
    <row r="14" spans="1:1" ht="22" customHeight="1">
      <c r="A14" s="5"/>
    </row>
    <row r="15" spans="1:1" ht="22" customHeight="1">
      <c r="A15" s="6" t="s">
        <v>11</v>
      </c>
    </row>
    <row r="16" spans="1:1" ht="22" customHeight="1">
      <c r="A16" s="5"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W241"/>
  <sheetViews>
    <sheetView topLeftCell="B1" workbookViewId="0">
      <selection activeCell="C11" sqref="C11"/>
    </sheetView>
  </sheetViews>
  <sheetFormatPr defaultRowHeight="14"/>
  <cols>
    <col min="1" max="1" width="16" style="8" customWidth="1"/>
    <col min="2" max="4" width="12" style="10" customWidth="1"/>
    <col min="5" max="5" width="11" customWidth="1"/>
    <col min="6" max="6" width="18" style="8" customWidth="1"/>
    <col min="7" max="7" width="12" style="8" customWidth="1"/>
    <col min="8" max="9" width="16" style="8" customWidth="1"/>
    <col min="10" max="10" width="20" style="8" customWidth="1"/>
    <col min="11" max="11" width="16" style="8" customWidth="1"/>
    <col min="12" max="12" width="17" style="8" customWidth="1"/>
    <col min="13" max="13" width="12" style="8" customWidth="1"/>
    <col min="14" max="14" width="11" style="3" customWidth="1"/>
    <col min="15" max="15" width="12" style="15" customWidth="1"/>
    <col min="16" max="16" width="12" style="17" customWidth="1"/>
    <col min="17" max="17" width="12" style="15" customWidth="1"/>
    <col min="18" max="20" width="13" style="15" customWidth="1"/>
    <col min="21" max="21" width="13" style="17" customWidth="1"/>
    <col min="22" max="22" width="14" style="3" customWidth="1"/>
    <col min="23" max="23" width="14" style="12" customWidth="1"/>
  </cols>
  <sheetData>
    <row r="1" spans="1:23">
      <c r="A1" s="7" t="s">
        <v>13</v>
      </c>
      <c r="B1" s="9" t="s">
        <v>14</v>
      </c>
      <c r="C1" s="9" t="s">
        <v>435</v>
      </c>
      <c r="D1" s="9" t="s">
        <v>396</v>
      </c>
      <c r="E1" s="2" t="s">
        <v>15</v>
      </c>
      <c r="F1" s="7" t="s">
        <v>16</v>
      </c>
      <c r="G1" s="7" t="s">
        <v>17</v>
      </c>
      <c r="H1" s="7" t="s">
        <v>18</v>
      </c>
      <c r="I1" s="7" t="s">
        <v>19</v>
      </c>
      <c r="J1" s="7" t="s">
        <v>20</v>
      </c>
      <c r="K1" s="7" t="s">
        <v>21</v>
      </c>
      <c r="L1" s="7" t="s">
        <v>22</v>
      </c>
      <c r="M1" s="7" t="s">
        <v>23</v>
      </c>
      <c r="N1" s="13" t="s">
        <v>24</v>
      </c>
      <c r="O1" s="14" t="s">
        <v>25</v>
      </c>
      <c r="P1" s="16" t="s">
        <v>26</v>
      </c>
      <c r="Q1" s="14" t="s">
        <v>27</v>
      </c>
      <c r="R1" s="14" t="s">
        <v>28</v>
      </c>
      <c r="S1" s="14" t="s">
        <v>29</v>
      </c>
      <c r="T1" s="14" t="s">
        <v>30</v>
      </c>
      <c r="U1" s="16" t="s">
        <v>31</v>
      </c>
      <c r="V1" s="13" t="s">
        <v>32</v>
      </c>
      <c r="W1" s="11" t="s">
        <v>33</v>
      </c>
    </row>
    <row r="2" spans="1:23">
      <c r="A2" s="8" t="s">
        <v>34</v>
      </c>
      <c r="B2" s="10">
        <v>45985</v>
      </c>
      <c r="C2" s="10" t="str">
        <f>TEXT(SalesDataTable[[#This Row],[Order_Date]],"YYYY")</f>
        <v>2025</v>
      </c>
      <c r="D2" s="10" t="str">
        <f>TEXT(SalesDataTable[[#This Row],[Order_Date]],"MMM")</f>
        <v>Nov</v>
      </c>
      <c r="E2" t="str">
        <f t="shared" ref="E2:E65" si="0">TEXT(B2,"mmm yyyy")</f>
        <v>Nov 2025</v>
      </c>
      <c r="F2" s="8" t="s">
        <v>35</v>
      </c>
      <c r="G2" s="8" t="s">
        <v>36</v>
      </c>
      <c r="H2" s="8" t="s">
        <v>37</v>
      </c>
      <c r="I2" s="8" t="s">
        <v>38</v>
      </c>
      <c r="J2" s="8" t="s">
        <v>39</v>
      </c>
      <c r="K2" s="8" t="s">
        <v>40</v>
      </c>
      <c r="L2" s="8" t="s">
        <v>41</v>
      </c>
      <c r="M2" s="8" t="s">
        <v>42</v>
      </c>
      <c r="N2" s="3">
        <v>7</v>
      </c>
      <c r="O2" s="15">
        <v>235.82</v>
      </c>
      <c r="P2" s="17">
        <v>0</v>
      </c>
      <c r="Q2" s="15">
        <v>158.94999999999999</v>
      </c>
      <c r="R2" s="15">
        <f t="shared" ref="R2:R65" si="1">N2*O2*(1-P2)</f>
        <v>1650.74</v>
      </c>
      <c r="S2" s="15">
        <f t="shared" ref="S2:S65" si="2">N2*Q2</f>
        <v>1112.6499999999999</v>
      </c>
      <c r="T2" s="15">
        <f t="shared" ref="T2:T65" si="3">R2-S2</f>
        <v>538.09000000000015</v>
      </c>
      <c r="U2" s="17">
        <f t="shared" ref="U2:U65" si="4">IFERROR(T2/R2,0)</f>
        <v>0.32596895937579518</v>
      </c>
      <c r="V2" s="3">
        <v>1</v>
      </c>
      <c r="W2" s="12">
        <v>4</v>
      </c>
    </row>
    <row r="3" spans="1:23">
      <c r="A3" s="8" t="s">
        <v>43</v>
      </c>
      <c r="B3" s="10">
        <v>45990</v>
      </c>
      <c r="C3" s="10" t="str">
        <f>TEXT(SalesDataTable[[#This Row],[Order_Date]],"YYYY")</f>
        <v>2025</v>
      </c>
      <c r="D3" s="10" t="str">
        <f>TEXT(SalesDataTable[[#This Row],[Order_Date]],"MMM")</f>
        <v>Nov</v>
      </c>
      <c r="E3" t="str">
        <f t="shared" si="0"/>
        <v>Nov 2025</v>
      </c>
      <c r="F3" s="8" t="s">
        <v>44</v>
      </c>
      <c r="G3" s="8" t="s">
        <v>45</v>
      </c>
      <c r="H3" s="8" t="s">
        <v>46</v>
      </c>
      <c r="I3" s="8" t="s">
        <v>47</v>
      </c>
      <c r="J3" s="8" t="s">
        <v>48</v>
      </c>
      <c r="K3" s="8" t="s">
        <v>49</v>
      </c>
      <c r="L3" s="8" t="s">
        <v>50</v>
      </c>
      <c r="M3" s="8" t="s">
        <v>51</v>
      </c>
      <c r="N3" s="3">
        <v>7</v>
      </c>
      <c r="O3" s="15">
        <v>21.45</v>
      </c>
      <c r="P3" s="17">
        <v>0.2</v>
      </c>
      <c r="Q3" s="15">
        <v>10.39</v>
      </c>
      <c r="R3" s="15">
        <f t="shared" si="1"/>
        <v>120.12</v>
      </c>
      <c r="S3" s="15">
        <f t="shared" si="2"/>
        <v>72.73</v>
      </c>
      <c r="T3" s="15">
        <f t="shared" si="3"/>
        <v>47.39</v>
      </c>
      <c r="U3" s="17">
        <f t="shared" si="4"/>
        <v>0.39452214452214451</v>
      </c>
      <c r="V3" s="3">
        <v>6</v>
      </c>
      <c r="W3" s="12">
        <v>3</v>
      </c>
    </row>
    <row r="4" spans="1:23">
      <c r="A4" s="8" t="s">
        <v>52</v>
      </c>
      <c r="B4" s="10">
        <v>45852</v>
      </c>
      <c r="C4" s="10" t="str">
        <f>TEXT(SalesDataTable[[#This Row],[Order_Date]],"YYYY")</f>
        <v>2025</v>
      </c>
      <c r="D4" s="10" t="str">
        <f>TEXT(SalesDataTable[[#This Row],[Order_Date]],"MMM")</f>
        <v>Jul</v>
      </c>
      <c r="E4" t="str">
        <f t="shared" si="0"/>
        <v>Jul 2025</v>
      </c>
      <c r="F4" s="8" t="s">
        <v>35</v>
      </c>
      <c r="G4" s="8" t="s">
        <v>36</v>
      </c>
      <c r="H4" s="8" t="s">
        <v>53</v>
      </c>
      <c r="I4" s="8" t="s">
        <v>54</v>
      </c>
      <c r="J4" s="8" t="s">
        <v>55</v>
      </c>
      <c r="K4" s="8" t="s">
        <v>49</v>
      </c>
      <c r="L4" s="8" t="s">
        <v>41</v>
      </c>
      <c r="M4" s="8" t="s">
        <v>56</v>
      </c>
      <c r="N4" s="3">
        <v>4</v>
      </c>
      <c r="O4" s="15">
        <v>76.61</v>
      </c>
      <c r="P4" s="17">
        <v>0.05</v>
      </c>
      <c r="Q4" s="15">
        <v>47.37</v>
      </c>
      <c r="R4" s="15">
        <f t="shared" si="1"/>
        <v>291.11799999999999</v>
      </c>
      <c r="S4" s="15">
        <f t="shared" si="2"/>
        <v>189.48</v>
      </c>
      <c r="T4" s="15">
        <f t="shared" si="3"/>
        <v>101.63800000000001</v>
      </c>
      <c r="U4" s="17">
        <f t="shared" si="4"/>
        <v>0.34912990608619188</v>
      </c>
      <c r="V4" s="3">
        <v>6</v>
      </c>
      <c r="W4" s="12">
        <v>5</v>
      </c>
    </row>
    <row r="5" spans="1:23">
      <c r="A5" s="8" t="s">
        <v>57</v>
      </c>
      <c r="B5" s="10">
        <v>46018</v>
      </c>
      <c r="C5" s="10" t="str">
        <f>TEXT(SalesDataTable[[#This Row],[Order_Date]],"YYYY")</f>
        <v>2025</v>
      </c>
      <c r="D5" s="10" t="str">
        <f>TEXT(SalesDataTable[[#This Row],[Order_Date]],"MMM")</f>
        <v>Dec</v>
      </c>
      <c r="E5" t="str">
        <f t="shared" si="0"/>
        <v>Dec 2025</v>
      </c>
      <c r="F5" s="8" t="s">
        <v>58</v>
      </c>
      <c r="G5" s="8" t="s">
        <v>36</v>
      </c>
      <c r="H5" s="8" t="s">
        <v>37</v>
      </c>
      <c r="I5" s="8" t="s">
        <v>38</v>
      </c>
      <c r="J5" s="8" t="s">
        <v>59</v>
      </c>
      <c r="K5" s="8" t="s">
        <v>49</v>
      </c>
      <c r="L5" s="8" t="s">
        <v>41</v>
      </c>
      <c r="M5" s="8" t="s">
        <v>56</v>
      </c>
      <c r="N5" s="3">
        <v>5</v>
      </c>
      <c r="O5" s="15">
        <v>139.97</v>
      </c>
      <c r="P5" s="17">
        <v>0</v>
      </c>
      <c r="Q5" s="15">
        <v>94.81</v>
      </c>
      <c r="R5" s="15">
        <f t="shared" si="1"/>
        <v>699.85</v>
      </c>
      <c r="S5" s="15">
        <f t="shared" si="2"/>
        <v>474.05</v>
      </c>
      <c r="T5" s="15">
        <f t="shared" si="3"/>
        <v>225.8</v>
      </c>
      <c r="U5" s="17">
        <f t="shared" si="4"/>
        <v>0.32264056583553619</v>
      </c>
      <c r="V5" s="3">
        <v>6</v>
      </c>
      <c r="W5" s="12">
        <v>4</v>
      </c>
    </row>
    <row r="6" spans="1:23">
      <c r="A6" s="8" t="s">
        <v>60</v>
      </c>
      <c r="B6" s="10">
        <v>45794</v>
      </c>
      <c r="C6" s="10" t="str">
        <f>TEXT(SalesDataTable[[#This Row],[Order_Date]],"YYYY")</f>
        <v>2025</v>
      </c>
      <c r="D6" s="10" t="str">
        <f>TEXT(SalesDataTable[[#This Row],[Order_Date]],"MMM")</f>
        <v>May</v>
      </c>
      <c r="E6" t="str">
        <f t="shared" si="0"/>
        <v>May 2025</v>
      </c>
      <c r="F6" s="8" t="s">
        <v>44</v>
      </c>
      <c r="G6" s="8" t="s">
        <v>36</v>
      </c>
      <c r="H6" s="8" t="s">
        <v>61</v>
      </c>
      <c r="I6" s="8" t="s">
        <v>38</v>
      </c>
      <c r="J6" s="8" t="s">
        <v>39</v>
      </c>
      <c r="K6" s="8" t="s">
        <v>40</v>
      </c>
      <c r="L6" s="8" t="s">
        <v>50</v>
      </c>
      <c r="M6" s="8" t="s">
        <v>51</v>
      </c>
      <c r="N6" s="3">
        <v>6</v>
      </c>
      <c r="O6" s="15">
        <v>282.20999999999998</v>
      </c>
      <c r="P6" s="17">
        <v>0</v>
      </c>
      <c r="Q6" s="15">
        <v>177.51</v>
      </c>
      <c r="R6" s="15">
        <f t="shared" si="1"/>
        <v>1693.2599999999998</v>
      </c>
      <c r="S6" s="15">
        <f t="shared" si="2"/>
        <v>1065.06</v>
      </c>
      <c r="T6" s="15">
        <f t="shared" si="3"/>
        <v>628.19999999999982</v>
      </c>
      <c r="U6" s="17">
        <f t="shared" si="4"/>
        <v>0.37100031891144886</v>
      </c>
      <c r="V6" s="3">
        <v>1</v>
      </c>
      <c r="W6" s="12">
        <v>5</v>
      </c>
    </row>
    <row r="7" spans="1:23">
      <c r="A7" s="8" t="s">
        <v>62</v>
      </c>
      <c r="B7" s="10">
        <v>45863</v>
      </c>
      <c r="C7" s="10" t="str">
        <f>TEXT(SalesDataTable[[#This Row],[Order_Date]],"YYYY")</f>
        <v>2025</v>
      </c>
      <c r="D7" s="10" t="str">
        <f>TEXT(SalesDataTable[[#This Row],[Order_Date]],"MMM")</f>
        <v>Jul</v>
      </c>
      <c r="E7" t="str">
        <f t="shared" si="0"/>
        <v>Jul 2025</v>
      </c>
      <c r="F7" s="8" t="s">
        <v>44</v>
      </c>
      <c r="G7" s="8" t="s">
        <v>63</v>
      </c>
      <c r="H7" s="8" t="s">
        <v>64</v>
      </c>
      <c r="I7" s="8" t="s">
        <v>65</v>
      </c>
      <c r="J7" s="8" t="s">
        <v>66</v>
      </c>
      <c r="K7" s="8" t="s">
        <v>40</v>
      </c>
      <c r="L7" s="8" t="s">
        <v>67</v>
      </c>
      <c r="M7" s="8" t="s">
        <v>68</v>
      </c>
      <c r="N7" s="3">
        <v>10</v>
      </c>
      <c r="O7" s="15">
        <v>23.27</v>
      </c>
      <c r="P7" s="17">
        <v>0.05</v>
      </c>
      <c r="Q7" s="15">
        <v>14.55</v>
      </c>
      <c r="R7" s="15">
        <f t="shared" si="1"/>
        <v>221.06499999999997</v>
      </c>
      <c r="S7" s="15">
        <f t="shared" si="2"/>
        <v>145.5</v>
      </c>
      <c r="T7" s="15">
        <f t="shared" si="3"/>
        <v>75.564999999999969</v>
      </c>
      <c r="U7" s="17">
        <f t="shared" si="4"/>
        <v>0.34182254088164105</v>
      </c>
      <c r="V7" s="3">
        <v>7</v>
      </c>
      <c r="W7" s="12">
        <v>5</v>
      </c>
    </row>
    <row r="8" spans="1:23">
      <c r="A8" s="8" t="s">
        <v>69</v>
      </c>
      <c r="B8" s="10">
        <v>45862</v>
      </c>
      <c r="C8" s="10" t="str">
        <f>TEXT(SalesDataTable[[#This Row],[Order_Date]],"YYYY")</f>
        <v>2025</v>
      </c>
      <c r="D8" s="10" t="str">
        <f>TEXT(SalesDataTable[[#This Row],[Order_Date]],"MMM")</f>
        <v>Jul</v>
      </c>
      <c r="E8" t="str">
        <f t="shared" si="0"/>
        <v>Jul 2025</v>
      </c>
      <c r="F8" s="8" t="s">
        <v>44</v>
      </c>
      <c r="G8" s="8" t="s">
        <v>63</v>
      </c>
      <c r="H8" s="8" t="s">
        <v>64</v>
      </c>
      <c r="I8" s="8" t="s">
        <v>54</v>
      </c>
      <c r="J8" s="8" t="s">
        <v>70</v>
      </c>
      <c r="K8" s="8" t="s">
        <v>71</v>
      </c>
      <c r="L8" s="8" t="s">
        <v>41</v>
      </c>
      <c r="M8" s="8" t="s">
        <v>72</v>
      </c>
      <c r="N8" s="3">
        <v>6</v>
      </c>
      <c r="O8" s="15">
        <v>67.47</v>
      </c>
      <c r="P8" s="17">
        <v>0.05</v>
      </c>
      <c r="Q8" s="15">
        <v>39.78</v>
      </c>
      <c r="R8" s="15">
        <f t="shared" si="1"/>
        <v>384.57899999999995</v>
      </c>
      <c r="S8" s="15">
        <f t="shared" si="2"/>
        <v>238.68</v>
      </c>
      <c r="T8" s="15">
        <f t="shared" si="3"/>
        <v>145.89899999999994</v>
      </c>
      <c r="U8" s="17">
        <f t="shared" si="4"/>
        <v>0.37937328871311216</v>
      </c>
      <c r="V8" s="3">
        <v>2</v>
      </c>
      <c r="W8" s="12">
        <v>4</v>
      </c>
    </row>
    <row r="9" spans="1:23">
      <c r="A9" s="8" t="s">
        <v>73</v>
      </c>
      <c r="B9" s="10">
        <v>45963</v>
      </c>
      <c r="C9" s="10" t="str">
        <f>TEXT(SalesDataTable[[#This Row],[Order_Date]],"YYYY")</f>
        <v>2025</v>
      </c>
      <c r="D9" s="10" t="str">
        <f>TEXT(SalesDataTable[[#This Row],[Order_Date]],"MMM")</f>
        <v>Nov</v>
      </c>
      <c r="E9" t="str">
        <f t="shared" si="0"/>
        <v>Nov 2025</v>
      </c>
      <c r="F9" s="8" t="s">
        <v>44</v>
      </c>
      <c r="G9" s="8" t="s">
        <v>45</v>
      </c>
      <c r="H9" s="8" t="s">
        <v>74</v>
      </c>
      <c r="I9" s="8" t="s">
        <v>65</v>
      </c>
      <c r="J9" s="8" t="s">
        <v>75</v>
      </c>
      <c r="K9" s="8" t="s">
        <v>71</v>
      </c>
      <c r="L9" s="8" t="s">
        <v>76</v>
      </c>
      <c r="M9" s="8" t="s">
        <v>51</v>
      </c>
      <c r="N9" s="3">
        <v>12</v>
      </c>
      <c r="O9" s="15">
        <v>11.09</v>
      </c>
      <c r="P9" s="17">
        <v>0.05</v>
      </c>
      <c r="Q9" s="15">
        <v>6.43</v>
      </c>
      <c r="R9" s="15">
        <f t="shared" si="1"/>
        <v>126.42599999999997</v>
      </c>
      <c r="S9" s="15">
        <f t="shared" si="2"/>
        <v>77.16</v>
      </c>
      <c r="T9" s="15">
        <f t="shared" si="3"/>
        <v>49.265999999999977</v>
      </c>
      <c r="U9" s="17">
        <f t="shared" si="4"/>
        <v>0.38968250201699006</v>
      </c>
      <c r="V9" s="3">
        <v>5</v>
      </c>
      <c r="W9" s="12">
        <v>5</v>
      </c>
    </row>
    <row r="10" spans="1:23">
      <c r="A10" s="8" t="s">
        <v>77</v>
      </c>
      <c r="B10" s="10">
        <v>45749</v>
      </c>
      <c r="C10" s="10" t="str">
        <f>TEXT(SalesDataTable[[#This Row],[Order_Date]],"YYYY")</f>
        <v>2025</v>
      </c>
      <c r="D10" s="10" t="str">
        <f>TEXT(SalesDataTable[[#This Row],[Order_Date]],"MMM")</f>
        <v>Apr</v>
      </c>
      <c r="E10" t="str">
        <f t="shared" si="0"/>
        <v>Apr 2025</v>
      </c>
      <c r="F10" s="8" t="s">
        <v>35</v>
      </c>
      <c r="G10" s="8" t="s">
        <v>36</v>
      </c>
      <c r="H10" s="8" t="s">
        <v>61</v>
      </c>
      <c r="I10" s="8" t="s">
        <v>47</v>
      </c>
      <c r="J10" s="8" t="s">
        <v>78</v>
      </c>
      <c r="K10" s="8" t="s">
        <v>40</v>
      </c>
      <c r="L10" s="8" t="s">
        <v>41</v>
      </c>
      <c r="M10" s="8" t="s">
        <v>42</v>
      </c>
      <c r="N10" s="3">
        <v>6</v>
      </c>
      <c r="O10" s="15">
        <v>45.34</v>
      </c>
      <c r="P10" s="17">
        <v>0.05</v>
      </c>
      <c r="Q10" s="15">
        <v>25.32</v>
      </c>
      <c r="R10" s="15">
        <f t="shared" si="1"/>
        <v>258.43799999999999</v>
      </c>
      <c r="S10" s="15">
        <f t="shared" si="2"/>
        <v>151.92000000000002</v>
      </c>
      <c r="T10" s="15">
        <f t="shared" si="3"/>
        <v>106.51799999999997</v>
      </c>
      <c r="U10" s="17">
        <f t="shared" si="4"/>
        <v>0.41216075035405003</v>
      </c>
      <c r="V10" s="3">
        <v>5</v>
      </c>
      <c r="W10" s="12">
        <v>4</v>
      </c>
    </row>
    <row r="11" spans="1:23">
      <c r="A11" s="8" t="s">
        <v>79</v>
      </c>
      <c r="B11" s="10">
        <v>45781</v>
      </c>
      <c r="C11" s="10" t="str">
        <f>TEXT(SalesDataTable[[#This Row],[Order_Date]],"YYYY")</f>
        <v>2025</v>
      </c>
      <c r="D11" s="10" t="str">
        <f>TEXT(SalesDataTable[[#This Row],[Order_Date]],"MMM")</f>
        <v>May</v>
      </c>
      <c r="E11" t="str">
        <f t="shared" si="0"/>
        <v>May 2025</v>
      </c>
      <c r="F11" s="8" t="s">
        <v>44</v>
      </c>
      <c r="G11" s="8" t="s">
        <v>36</v>
      </c>
      <c r="H11" s="8" t="s">
        <v>37</v>
      </c>
      <c r="I11" s="8" t="s">
        <v>38</v>
      </c>
      <c r="J11" s="8" t="s">
        <v>80</v>
      </c>
      <c r="K11" s="8" t="s">
        <v>49</v>
      </c>
      <c r="L11" s="8" t="s">
        <v>50</v>
      </c>
      <c r="M11" s="8" t="s">
        <v>68</v>
      </c>
      <c r="N11" s="3">
        <v>8</v>
      </c>
      <c r="O11" s="15">
        <v>133</v>
      </c>
      <c r="P11" s="17">
        <v>0.05</v>
      </c>
      <c r="Q11" s="15">
        <v>70.98</v>
      </c>
      <c r="R11" s="15">
        <f t="shared" si="1"/>
        <v>1010.8</v>
      </c>
      <c r="S11" s="15">
        <f t="shared" si="2"/>
        <v>567.84</v>
      </c>
      <c r="T11" s="15">
        <f t="shared" si="3"/>
        <v>442.95999999999992</v>
      </c>
      <c r="U11" s="17">
        <f t="shared" si="4"/>
        <v>0.43822714681440439</v>
      </c>
      <c r="V11" s="3">
        <v>7</v>
      </c>
      <c r="W11" s="12">
        <v>5</v>
      </c>
    </row>
    <row r="12" spans="1:23">
      <c r="A12" s="8" t="s">
        <v>81</v>
      </c>
      <c r="B12" s="10">
        <v>45934</v>
      </c>
      <c r="C12" s="10" t="str">
        <f>TEXT(SalesDataTable[[#This Row],[Order_Date]],"YYYY")</f>
        <v>2025</v>
      </c>
      <c r="D12" s="10" t="str">
        <f>TEXT(SalesDataTable[[#This Row],[Order_Date]],"MMM")</f>
        <v>Oct</v>
      </c>
      <c r="E12" t="str">
        <f t="shared" si="0"/>
        <v>Oct 2025</v>
      </c>
      <c r="F12" s="8" t="s">
        <v>44</v>
      </c>
      <c r="G12" s="8" t="s">
        <v>82</v>
      </c>
      <c r="H12" s="8" t="s">
        <v>83</v>
      </c>
      <c r="I12" s="8" t="s">
        <v>47</v>
      </c>
      <c r="J12" s="8" t="s">
        <v>48</v>
      </c>
      <c r="K12" s="8" t="s">
        <v>40</v>
      </c>
      <c r="L12" s="8" t="s">
        <v>41</v>
      </c>
      <c r="M12" s="8" t="s">
        <v>68</v>
      </c>
      <c r="N12" s="3">
        <v>4</v>
      </c>
      <c r="O12" s="15">
        <v>20.11</v>
      </c>
      <c r="P12" s="17">
        <v>0.05</v>
      </c>
      <c r="Q12" s="15">
        <v>10.16</v>
      </c>
      <c r="R12" s="15">
        <f t="shared" si="1"/>
        <v>76.417999999999992</v>
      </c>
      <c r="S12" s="15">
        <f t="shared" si="2"/>
        <v>40.64</v>
      </c>
      <c r="T12" s="15">
        <f t="shared" si="3"/>
        <v>35.777999999999992</v>
      </c>
      <c r="U12" s="17">
        <f t="shared" si="4"/>
        <v>0.46818812321704306</v>
      </c>
      <c r="V12" s="3">
        <v>4</v>
      </c>
      <c r="W12" s="12">
        <v>3</v>
      </c>
    </row>
    <row r="13" spans="1:23">
      <c r="A13" s="8" t="s">
        <v>84</v>
      </c>
      <c r="B13" s="10">
        <v>46020</v>
      </c>
      <c r="C13" s="10" t="str">
        <f>TEXT(SalesDataTable[[#This Row],[Order_Date]],"YYYY")</f>
        <v>2025</v>
      </c>
      <c r="D13" s="10" t="str">
        <f>TEXT(SalesDataTable[[#This Row],[Order_Date]],"MMM")</f>
        <v>Dec</v>
      </c>
      <c r="E13" t="str">
        <f t="shared" si="0"/>
        <v>Dec 2025</v>
      </c>
      <c r="F13" s="8" t="s">
        <v>44</v>
      </c>
      <c r="G13" s="8" t="s">
        <v>36</v>
      </c>
      <c r="H13" s="8" t="s">
        <v>37</v>
      </c>
      <c r="I13" s="8" t="s">
        <v>65</v>
      </c>
      <c r="J13" s="8" t="s">
        <v>75</v>
      </c>
      <c r="K13" s="8" t="s">
        <v>49</v>
      </c>
      <c r="L13" s="8" t="s">
        <v>50</v>
      </c>
      <c r="M13" s="8" t="s">
        <v>85</v>
      </c>
      <c r="N13" s="3">
        <v>23</v>
      </c>
      <c r="O13" s="15">
        <v>12.08</v>
      </c>
      <c r="P13" s="17">
        <v>0.1</v>
      </c>
      <c r="Q13" s="15">
        <v>6.54</v>
      </c>
      <c r="R13" s="15">
        <f t="shared" si="1"/>
        <v>250.05599999999998</v>
      </c>
      <c r="S13" s="15">
        <f t="shared" si="2"/>
        <v>150.41999999999999</v>
      </c>
      <c r="T13" s="15">
        <f t="shared" si="3"/>
        <v>99.635999999999996</v>
      </c>
      <c r="U13" s="17">
        <f t="shared" si="4"/>
        <v>0.39845474613686538</v>
      </c>
      <c r="V13" s="3">
        <v>8</v>
      </c>
      <c r="W13" s="12">
        <v>4</v>
      </c>
    </row>
    <row r="14" spans="1:23">
      <c r="A14" s="8" t="s">
        <v>86</v>
      </c>
      <c r="B14" s="10">
        <v>45900</v>
      </c>
      <c r="C14" s="10" t="str">
        <f>TEXT(SalesDataTable[[#This Row],[Order_Date]],"YYYY")</f>
        <v>2025</v>
      </c>
      <c r="D14" s="10" t="str">
        <f>TEXT(SalesDataTable[[#This Row],[Order_Date]],"MMM")</f>
        <v>Aug</v>
      </c>
      <c r="E14" t="str">
        <f t="shared" si="0"/>
        <v>Aug 2025</v>
      </c>
      <c r="F14" s="8" t="s">
        <v>44</v>
      </c>
      <c r="G14" s="8" t="s">
        <v>45</v>
      </c>
      <c r="H14" s="8" t="s">
        <v>46</v>
      </c>
      <c r="I14" s="8" t="s">
        <v>65</v>
      </c>
      <c r="J14" s="8" t="s">
        <v>87</v>
      </c>
      <c r="K14" s="8" t="s">
        <v>40</v>
      </c>
      <c r="L14" s="8" t="s">
        <v>41</v>
      </c>
      <c r="M14" s="8" t="s">
        <v>51</v>
      </c>
      <c r="N14" s="3">
        <v>22</v>
      </c>
      <c r="O14" s="15">
        <v>11.17</v>
      </c>
      <c r="P14" s="17">
        <v>0.05</v>
      </c>
      <c r="Q14" s="15">
        <v>4.21</v>
      </c>
      <c r="R14" s="15">
        <f t="shared" si="1"/>
        <v>233.453</v>
      </c>
      <c r="S14" s="15">
        <f t="shared" si="2"/>
        <v>92.62</v>
      </c>
      <c r="T14" s="15">
        <f t="shared" si="3"/>
        <v>140.833</v>
      </c>
      <c r="U14" s="17">
        <f t="shared" si="4"/>
        <v>0.60326061348536963</v>
      </c>
      <c r="V14" s="3">
        <v>6</v>
      </c>
      <c r="W14" s="12">
        <v>5</v>
      </c>
    </row>
    <row r="15" spans="1:23">
      <c r="A15" s="8" t="s">
        <v>88</v>
      </c>
      <c r="B15" s="10">
        <v>45713</v>
      </c>
      <c r="C15" s="10" t="str">
        <f>TEXT(SalesDataTable[[#This Row],[Order_Date]],"YYYY")</f>
        <v>2025</v>
      </c>
      <c r="D15" s="10" t="str">
        <f>TEXT(SalesDataTable[[#This Row],[Order_Date]],"MMM")</f>
        <v>Feb</v>
      </c>
      <c r="E15" t="str">
        <f t="shared" si="0"/>
        <v>Feb 2025</v>
      </c>
      <c r="F15" s="8" t="s">
        <v>44</v>
      </c>
      <c r="G15" s="8" t="s">
        <v>82</v>
      </c>
      <c r="H15" s="8" t="s">
        <v>89</v>
      </c>
      <c r="I15" s="8" t="s">
        <v>65</v>
      </c>
      <c r="J15" s="8" t="s">
        <v>87</v>
      </c>
      <c r="K15" s="8" t="s">
        <v>40</v>
      </c>
      <c r="L15" s="8" t="s">
        <v>67</v>
      </c>
      <c r="M15" s="8" t="s">
        <v>68</v>
      </c>
      <c r="N15" s="3">
        <v>4</v>
      </c>
      <c r="O15" s="15">
        <v>9.9700000000000006</v>
      </c>
      <c r="P15" s="17">
        <v>0.05</v>
      </c>
      <c r="Q15" s="15">
        <v>4.76</v>
      </c>
      <c r="R15" s="15">
        <f t="shared" si="1"/>
        <v>37.886000000000003</v>
      </c>
      <c r="S15" s="15">
        <f t="shared" si="2"/>
        <v>19.04</v>
      </c>
      <c r="T15" s="15">
        <f t="shared" si="3"/>
        <v>18.846000000000004</v>
      </c>
      <c r="U15" s="17">
        <f t="shared" si="4"/>
        <v>0.4974396874835032</v>
      </c>
      <c r="V15" s="3">
        <v>1</v>
      </c>
      <c r="W15" s="12">
        <v>5</v>
      </c>
    </row>
    <row r="16" spans="1:23">
      <c r="A16" s="8" t="s">
        <v>90</v>
      </c>
      <c r="B16" s="10">
        <v>45934</v>
      </c>
      <c r="C16" s="10" t="str">
        <f>TEXT(SalesDataTable[[#This Row],[Order_Date]],"YYYY")</f>
        <v>2025</v>
      </c>
      <c r="D16" s="10" t="str">
        <f>TEXT(SalesDataTable[[#This Row],[Order_Date]],"MMM")</f>
        <v>Oct</v>
      </c>
      <c r="E16" t="str">
        <f t="shared" si="0"/>
        <v>Oct 2025</v>
      </c>
      <c r="F16" s="8" t="s">
        <v>44</v>
      </c>
      <c r="G16" s="8" t="s">
        <v>36</v>
      </c>
      <c r="H16" s="8" t="s">
        <v>37</v>
      </c>
      <c r="I16" s="8" t="s">
        <v>54</v>
      </c>
      <c r="J16" s="8" t="s">
        <v>70</v>
      </c>
      <c r="K16" s="8" t="s">
        <v>40</v>
      </c>
      <c r="L16" s="8" t="s">
        <v>50</v>
      </c>
      <c r="M16" s="8" t="s">
        <v>56</v>
      </c>
      <c r="N16" s="3">
        <v>3</v>
      </c>
      <c r="O16" s="15">
        <v>60.85</v>
      </c>
      <c r="P16" s="17">
        <v>0.05</v>
      </c>
      <c r="Q16" s="15">
        <v>34.97</v>
      </c>
      <c r="R16" s="15">
        <f t="shared" si="1"/>
        <v>173.42250000000001</v>
      </c>
      <c r="S16" s="15">
        <f t="shared" si="2"/>
        <v>104.91</v>
      </c>
      <c r="T16" s="15">
        <f t="shared" si="3"/>
        <v>68.512500000000017</v>
      </c>
      <c r="U16" s="17">
        <f t="shared" si="4"/>
        <v>0.39506119448168497</v>
      </c>
      <c r="V16" s="3">
        <v>8</v>
      </c>
      <c r="W16" s="12">
        <v>4</v>
      </c>
    </row>
    <row r="17" spans="1:23">
      <c r="A17" s="8" t="s">
        <v>91</v>
      </c>
      <c r="B17" s="10">
        <v>46014</v>
      </c>
      <c r="C17" s="10" t="str">
        <f>TEXT(SalesDataTable[[#This Row],[Order_Date]],"YYYY")</f>
        <v>2025</v>
      </c>
      <c r="D17" s="10" t="str">
        <f>TEXT(SalesDataTable[[#This Row],[Order_Date]],"MMM")</f>
        <v>Dec</v>
      </c>
      <c r="E17" t="str">
        <f t="shared" si="0"/>
        <v>Dec 2025</v>
      </c>
      <c r="F17" s="8" t="s">
        <v>35</v>
      </c>
      <c r="G17" s="8" t="s">
        <v>45</v>
      </c>
      <c r="H17" s="8" t="s">
        <v>46</v>
      </c>
      <c r="I17" s="8" t="s">
        <v>65</v>
      </c>
      <c r="J17" s="8" t="s">
        <v>92</v>
      </c>
      <c r="K17" s="8" t="s">
        <v>49</v>
      </c>
      <c r="L17" s="8" t="s">
        <v>41</v>
      </c>
      <c r="M17" s="8" t="s">
        <v>51</v>
      </c>
      <c r="N17" s="3">
        <v>12</v>
      </c>
      <c r="O17" s="15">
        <v>16.43</v>
      </c>
      <c r="P17" s="17">
        <v>0.05</v>
      </c>
      <c r="Q17" s="15">
        <v>10.130000000000001</v>
      </c>
      <c r="R17" s="15">
        <f t="shared" si="1"/>
        <v>187.30199999999999</v>
      </c>
      <c r="S17" s="15">
        <f t="shared" si="2"/>
        <v>121.56</v>
      </c>
      <c r="T17" s="15">
        <f t="shared" si="3"/>
        <v>65.74199999999999</v>
      </c>
      <c r="U17" s="17">
        <f t="shared" si="4"/>
        <v>0.35099465035077038</v>
      </c>
      <c r="V17" s="3">
        <v>9</v>
      </c>
      <c r="W17" s="12">
        <v>4</v>
      </c>
    </row>
    <row r="18" spans="1:23">
      <c r="A18" s="8" t="s">
        <v>93</v>
      </c>
      <c r="B18" s="10">
        <v>45918</v>
      </c>
      <c r="C18" s="10" t="str">
        <f>TEXT(SalesDataTable[[#This Row],[Order_Date]],"YYYY")</f>
        <v>2025</v>
      </c>
      <c r="D18" s="10" t="str">
        <f>TEXT(SalesDataTable[[#This Row],[Order_Date]],"MMM")</f>
        <v>Sep</v>
      </c>
      <c r="E18" t="str">
        <f t="shared" si="0"/>
        <v>Sep 2025</v>
      </c>
      <c r="F18" s="8" t="s">
        <v>44</v>
      </c>
      <c r="G18" s="8" t="s">
        <v>36</v>
      </c>
      <c r="H18" s="8" t="s">
        <v>37</v>
      </c>
      <c r="I18" s="8" t="s">
        <v>65</v>
      </c>
      <c r="J18" s="8" t="s">
        <v>75</v>
      </c>
      <c r="K18" s="8" t="s">
        <v>71</v>
      </c>
      <c r="L18" s="8" t="s">
        <v>41</v>
      </c>
      <c r="M18" s="8" t="s">
        <v>42</v>
      </c>
      <c r="N18" s="3">
        <v>9</v>
      </c>
      <c r="O18" s="15">
        <v>12.33</v>
      </c>
      <c r="P18" s="17">
        <v>0</v>
      </c>
      <c r="Q18" s="15">
        <v>6.02</v>
      </c>
      <c r="R18" s="15">
        <f t="shared" si="1"/>
        <v>110.97</v>
      </c>
      <c r="S18" s="15">
        <f t="shared" si="2"/>
        <v>54.179999999999993</v>
      </c>
      <c r="T18" s="15">
        <f t="shared" si="3"/>
        <v>56.790000000000006</v>
      </c>
      <c r="U18" s="17">
        <f t="shared" si="4"/>
        <v>0.51175993511759943</v>
      </c>
      <c r="V18" s="3">
        <v>9</v>
      </c>
      <c r="W18" s="12">
        <v>4</v>
      </c>
    </row>
    <row r="19" spans="1:23">
      <c r="A19" s="8" t="s">
        <v>94</v>
      </c>
      <c r="B19" s="10">
        <v>45791</v>
      </c>
      <c r="C19" s="10" t="str">
        <f>TEXT(SalesDataTable[[#This Row],[Order_Date]],"YYYY")</f>
        <v>2025</v>
      </c>
      <c r="D19" s="10" t="str">
        <f>TEXT(SalesDataTable[[#This Row],[Order_Date]],"MMM")</f>
        <v>May</v>
      </c>
      <c r="E19" t="str">
        <f t="shared" si="0"/>
        <v>May 2025</v>
      </c>
      <c r="F19" s="8" t="s">
        <v>44</v>
      </c>
      <c r="G19" s="8" t="s">
        <v>82</v>
      </c>
      <c r="H19" s="8" t="s">
        <v>83</v>
      </c>
      <c r="I19" s="8" t="s">
        <v>38</v>
      </c>
      <c r="J19" s="8" t="s">
        <v>39</v>
      </c>
      <c r="K19" s="8" t="s">
        <v>40</v>
      </c>
      <c r="L19" s="8" t="s">
        <v>76</v>
      </c>
      <c r="M19" s="8" t="s">
        <v>56</v>
      </c>
      <c r="N19" s="3">
        <v>6</v>
      </c>
      <c r="O19" s="15">
        <v>287.14</v>
      </c>
      <c r="P19" s="17">
        <v>0</v>
      </c>
      <c r="Q19" s="15">
        <v>181.85</v>
      </c>
      <c r="R19" s="15">
        <f t="shared" si="1"/>
        <v>1722.84</v>
      </c>
      <c r="S19" s="15">
        <f t="shared" si="2"/>
        <v>1091.0999999999999</v>
      </c>
      <c r="T19" s="15">
        <f t="shared" si="3"/>
        <v>631.74</v>
      </c>
      <c r="U19" s="17">
        <f t="shared" si="4"/>
        <v>0.36668524064916069</v>
      </c>
      <c r="V19" s="3">
        <v>2</v>
      </c>
      <c r="W19" s="12">
        <v>3</v>
      </c>
    </row>
    <row r="20" spans="1:23">
      <c r="A20" s="8" t="s">
        <v>95</v>
      </c>
      <c r="B20" s="10">
        <v>45767</v>
      </c>
      <c r="C20" s="10" t="str">
        <f>TEXT(SalesDataTable[[#This Row],[Order_Date]],"YYYY")</f>
        <v>2025</v>
      </c>
      <c r="D20" s="10" t="str">
        <f>TEXT(SalesDataTable[[#This Row],[Order_Date]],"MMM")</f>
        <v>Apr</v>
      </c>
      <c r="E20" t="str">
        <f t="shared" si="0"/>
        <v>Apr 2025</v>
      </c>
      <c r="F20" s="8" t="s">
        <v>44</v>
      </c>
      <c r="G20" s="8" t="s">
        <v>63</v>
      </c>
      <c r="H20" s="8" t="s">
        <v>64</v>
      </c>
      <c r="I20" s="8" t="s">
        <v>54</v>
      </c>
      <c r="J20" s="8" t="s">
        <v>96</v>
      </c>
      <c r="K20" s="8" t="s">
        <v>49</v>
      </c>
      <c r="L20" s="8" t="s">
        <v>50</v>
      </c>
      <c r="M20" s="8" t="s">
        <v>56</v>
      </c>
      <c r="N20" s="3">
        <v>19</v>
      </c>
      <c r="O20" s="15">
        <v>50.63</v>
      </c>
      <c r="P20" s="17">
        <v>0.2</v>
      </c>
      <c r="Q20" s="15">
        <v>28.5</v>
      </c>
      <c r="R20" s="15">
        <f t="shared" si="1"/>
        <v>769.57600000000002</v>
      </c>
      <c r="S20" s="15">
        <f t="shared" si="2"/>
        <v>541.5</v>
      </c>
      <c r="T20" s="15">
        <f t="shared" si="3"/>
        <v>228.07600000000002</v>
      </c>
      <c r="U20" s="17">
        <f t="shared" si="4"/>
        <v>0.29636579103298444</v>
      </c>
      <c r="V20" s="3">
        <v>9</v>
      </c>
      <c r="W20" s="12">
        <v>3</v>
      </c>
    </row>
    <row r="21" spans="1:23">
      <c r="A21" s="8" t="s">
        <v>97</v>
      </c>
      <c r="B21" s="10">
        <v>45941</v>
      </c>
      <c r="C21" s="10" t="str">
        <f>TEXT(SalesDataTable[[#This Row],[Order_Date]],"YYYY")</f>
        <v>2025</v>
      </c>
      <c r="D21" s="10" t="str">
        <f>TEXT(SalesDataTable[[#This Row],[Order_Date]],"MMM")</f>
        <v>Oct</v>
      </c>
      <c r="E21" t="str">
        <f t="shared" si="0"/>
        <v>Oct 2025</v>
      </c>
      <c r="F21" s="8" t="s">
        <v>58</v>
      </c>
      <c r="G21" s="8" t="s">
        <v>63</v>
      </c>
      <c r="H21" s="8" t="s">
        <v>98</v>
      </c>
      <c r="I21" s="8" t="s">
        <v>65</v>
      </c>
      <c r="J21" s="8" t="s">
        <v>92</v>
      </c>
      <c r="K21" s="8" t="s">
        <v>40</v>
      </c>
      <c r="L21" s="8" t="s">
        <v>50</v>
      </c>
      <c r="M21" s="8" t="s">
        <v>85</v>
      </c>
      <c r="N21" s="3">
        <v>11</v>
      </c>
      <c r="O21" s="15">
        <v>18.600000000000001</v>
      </c>
      <c r="P21" s="17">
        <v>0</v>
      </c>
      <c r="Q21" s="15">
        <v>10.35</v>
      </c>
      <c r="R21" s="15">
        <f t="shared" si="1"/>
        <v>204.60000000000002</v>
      </c>
      <c r="S21" s="15">
        <f t="shared" si="2"/>
        <v>113.85</v>
      </c>
      <c r="T21" s="15">
        <f t="shared" si="3"/>
        <v>90.750000000000028</v>
      </c>
      <c r="U21" s="17">
        <f t="shared" si="4"/>
        <v>0.4435483870967743</v>
      </c>
      <c r="V21" s="3">
        <v>5</v>
      </c>
      <c r="W21" s="12">
        <v>4</v>
      </c>
    </row>
    <row r="22" spans="1:23">
      <c r="A22" s="8" t="s">
        <v>99</v>
      </c>
      <c r="B22" s="10">
        <v>45786</v>
      </c>
      <c r="C22" s="10" t="str">
        <f>TEXT(SalesDataTable[[#This Row],[Order_Date]],"YYYY")</f>
        <v>2025</v>
      </c>
      <c r="D22" s="10" t="str">
        <f>TEXT(SalesDataTable[[#This Row],[Order_Date]],"MMM")</f>
        <v>May</v>
      </c>
      <c r="E22" t="str">
        <f t="shared" si="0"/>
        <v>May 2025</v>
      </c>
      <c r="F22" s="8" t="s">
        <v>44</v>
      </c>
      <c r="G22" s="8" t="s">
        <v>36</v>
      </c>
      <c r="H22" s="8" t="s">
        <v>37</v>
      </c>
      <c r="I22" s="8" t="s">
        <v>38</v>
      </c>
      <c r="J22" s="8" t="s">
        <v>59</v>
      </c>
      <c r="K22" s="8" t="s">
        <v>40</v>
      </c>
      <c r="L22" s="8" t="s">
        <v>50</v>
      </c>
      <c r="M22" s="8" t="s">
        <v>51</v>
      </c>
      <c r="N22" s="3">
        <v>5</v>
      </c>
      <c r="O22" s="15">
        <v>130.97999999999999</v>
      </c>
      <c r="P22" s="17">
        <v>0.1</v>
      </c>
      <c r="Q22" s="15">
        <v>89.16</v>
      </c>
      <c r="R22" s="15">
        <f t="shared" si="1"/>
        <v>589.41</v>
      </c>
      <c r="S22" s="15">
        <f t="shared" si="2"/>
        <v>445.79999999999995</v>
      </c>
      <c r="T22" s="15">
        <f t="shared" si="3"/>
        <v>143.61000000000001</v>
      </c>
      <c r="U22" s="17">
        <f t="shared" si="4"/>
        <v>0.24365043009110809</v>
      </c>
      <c r="V22" s="3">
        <v>9</v>
      </c>
      <c r="W22" s="12">
        <v>3</v>
      </c>
    </row>
    <row r="23" spans="1:23">
      <c r="A23" s="8" t="s">
        <v>100</v>
      </c>
      <c r="B23" s="10">
        <v>45696</v>
      </c>
      <c r="C23" s="10" t="str">
        <f>TEXT(SalesDataTable[[#This Row],[Order_Date]],"YYYY")</f>
        <v>2025</v>
      </c>
      <c r="D23" s="10" t="str">
        <f>TEXT(SalesDataTable[[#This Row],[Order_Date]],"MMM")</f>
        <v>Feb</v>
      </c>
      <c r="E23" t="str">
        <f t="shared" si="0"/>
        <v>Feb 2025</v>
      </c>
      <c r="F23" s="8" t="s">
        <v>44</v>
      </c>
      <c r="G23" s="8" t="s">
        <v>82</v>
      </c>
      <c r="H23" s="8" t="s">
        <v>83</v>
      </c>
      <c r="I23" s="8" t="s">
        <v>65</v>
      </c>
      <c r="J23" s="8" t="s">
        <v>66</v>
      </c>
      <c r="K23" s="8" t="s">
        <v>71</v>
      </c>
      <c r="L23" s="8" t="s">
        <v>50</v>
      </c>
      <c r="M23" s="8" t="s">
        <v>72</v>
      </c>
      <c r="N23" s="3">
        <v>11</v>
      </c>
      <c r="O23" s="15">
        <v>24.51</v>
      </c>
      <c r="P23" s="17">
        <v>0.2</v>
      </c>
      <c r="Q23" s="15">
        <v>14.97</v>
      </c>
      <c r="R23" s="15">
        <f t="shared" si="1"/>
        <v>215.68800000000002</v>
      </c>
      <c r="S23" s="15">
        <f t="shared" si="2"/>
        <v>164.67000000000002</v>
      </c>
      <c r="T23" s="15">
        <f t="shared" si="3"/>
        <v>51.018000000000001</v>
      </c>
      <c r="U23" s="17">
        <f t="shared" si="4"/>
        <v>0.23653610771113828</v>
      </c>
      <c r="V23" s="3">
        <v>1</v>
      </c>
      <c r="W23" s="12">
        <v>5</v>
      </c>
    </row>
    <row r="24" spans="1:23">
      <c r="A24" s="8" t="s">
        <v>101</v>
      </c>
      <c r="B24" s="10">
        <v>45765</v>
      </c>
      <c r="C24" s="10" t="str">
        <f>TEXT(SalesDataTable[[#This Row],[Order_Date]],"YYYY")</f>
        <v>2025</v>
      </c>
      <c r="D24" s="10" t="str">
        <f>TEXT(SalesDataTable[[#This Row],[Order_Date]],"MMM")</f>
        <v>Apr</v>
      </c>
      <c r="E24" t="str">
        <f t="shared" si="0"/>
        <v>Apr 2025</v>
      </c>
      <c r="F24" s="8" t="s">
        <v>35</v>
      </c>
      <c r="G24" s="8" t="s">
        <v>82</v>
      </c>
      <c r="H24" s="8" t="s">
        <v>83</v>
      </c>
      <c r="I24" s="8" t="s">
        <v>65</v>
      </c>
      <c r="J24" s="8" t="s">
        <v>87</v>
      </c>
      <c r="K24" s="8" t="s">
        <v>49</v>
      </c>
      <c r="L24" s="8" t="s">
        <v>50</v>
      </c>
      <c r="M24" s="8" t="s">
        <v>68</v>
      </c>
      <c r="N24" s="3">
        <v>7</v>
      </c>
      <c r="O24" s="15">
        <v>10.94</v>
      </c>
      <c r="P24" s="17">
        <v>0.1</v>
      </c>
      <c r="Q24" s="15">
        <v>4.16</v>
      </c>
      <c r="R24" s="15">
        <f t="shared" si="1"/>
        <v>68.921999999999997</v>
      </c>
      <c r="S24" s="15">
        <f t="shared" si="2"/>
        <v>29.12</v>
      </c>
      <c r="T24" s="15">
        <f t="shared" si="3"/>
        <v>39.801999999999992</v>
      </c>
      <c r="U24" s="17">
        <f t="shared" si="4"/>
        <v>0.57749339833434887</v>
      </c>
      <c r="V24" s="3">
        <v>6</v>
      </c>
      <c r="W24" s="12">
        <v>5</v>
      </c>
    </row>
    <row r="25" spans="1:23">
      <c r="A25" s="8" t="s">
        <v>102</v>
      </c>
      <c r="B25" s="10">
        <v>45868</v>
      </c>
      <c r="C25" s="10" t="str">
        <f>TEXT(SalesDataTable[[#This Row],[Order_Date]],"YYYY")</f>
        <v>2025</v>
      </c>
      <c r="D25" s="10" t="str">
        <f>TEXT(SalesDataTable[[#This Row],[Order_Date]],"MMM")</f>
        <v>Jul</v>
      </c>
      <c r="E25" t="str">
        <f t="shared" si="0"/>
        <v>Jul 2025</v>
      </c>
      <c r="F25" s="8" t="s">
        <v>44</v>
      </c>
      <c r="G25" s="8" t="s">
        <v>82</v>
      </c>
      <c r="H25" s="8" t="s">
        <v>103</v>
      </c>
      <c r="I25" s="8" t="s">
        <v>65</v>
      </c>
      <c r="J25" s="8" t="s">
        <v>75</v>
      </c>
      <c r="K25" s="8" t="s">
        <v>40</v>
      </c>
      <c r="L25" s="8" t="s">
        <v>67</v>
      </c>
      <c r="M25" s="8" t="s">
        <v>68</v>
      </c>
      <c r="N25" s="3">
        <v>8</v>
      </c>
      <c r="O25" s="15">
        <v>12.96</v>
      </c>
      <c r="P25" s="17">
        <v>0</v>
      </c>
      <c r="Q25" s="15">
        <v>6.46</v>
      </c>
      <c r="R25" s="15">
        <f t="shared" si="1"/>
        <v>103.68</v>
      </c>
      <c r="S25" s="15">
        <f t="shared" si="2"/>
        <v>51.68</v>
      </c>
      <c r="T25" s="15">
        <f t="shared" si="3"/>
        <v>52.000000000000007</v>
      </c>
      <c r="U25" s="17">
        <f t="shared" si="4"/>
        <v>0.50154320987654322</v>
      </c>
      <c r="V25" s="3">
        <v>4</v>
      </c>
      <c r="W25" s="12">
        <v>4</v>
      </c>
    </row>
    <row r="26" spans="1:23">
      <c r="A26" s="8" t="s">
        <v>104</v>
      </c>
      <c r="B26" s="10">
        <v>45995</v>
      </c>
      <c r="C26" s="10" t="str">
        <f>TEXT(SalesDataTable[[#This Row],[Order_Date]],"YYYY")</f>
        <v>2025</v>
      </c>
      <c r="D26" s="10" t="str">
        <f>TEXT(SalesDataTable[[#This Row],[Order_Date]],"MMM")</f>
        <v>Dec</v>
      </c>
      <c r="E26" t="str">
        <f t="shared" si="0"/>
        <v>Dec 2025</v>
      </c>
      <c r="F26" s="8" t="s">
        <v>44</v>
      </c>
      <c r="G26" s="8" t="s">
        <v>82</v>
      </c>
      <c r="H26" s="8" t="s">
        <v>103</v>
      </c>
      <c r="I26" s="8" t="s">
        <v>47</v>
      </c>
      <c r="J26" s="8" t="s">
        <v>105</v>
      </c>
      <c r="K26" s="8" t="s">
        <v>49</v>
      </c>
      <c r="L26" s="8" t="s">
        <v>67</v>
      </c>
      <c r="M26" s="8" t="s">
        <v>51</v>
      </c>
      <c r="N26" s="3">
        <v>9</v>
      </c>
      <c r="O26" s="15">
        <v>34.049999999999997</v>
      </c>
      <c r="P26" s="17">
        <v>0.15</v>
      </c>
      <c r="Q26" s="15">
        <v>18.489999999999998</v>
      </c>
      <c r="R26" s="15">
        <f t="shared" si="1"/>
        <v>260.48249999999996</v>
      </c>
      <c r="S26" s="15">
        <f t="shared" si="2"/>
        <v>166.41</v>
      </c>
      <c r="T26" s="15">
        <f t="shared" si="3"/>
        <v>94.072499999999962</v>
      </c>
      <c r="U26" s="17">
        <f t="shared" si="4"/>
        <v>0.36114710201261113</v>
      </c>
      <c r="V26" s="3">
        <v>5</v>
      </c>
      <c r="W26" s="12">
        <v>4</v>
      </c>
    </row>
    <row r="27" spans="1:23">
      <c r="A27" s="8" t="s">
        <v>106</v>
      </c>
      <c r="B27" s="10">
        <v>45793</v>
      </c>
      <c r="C27" s="10" t="str">
        <f>TEXT(SalesDataTable[[#This Row],[Order_Date]],"YYYY")</f>
        <v>2025</v>
      </c>
      <c r="D27" s="10" t="str">
        <f>TEXT(SalesDataTable[[#This Row],[Order_Date]],"MMM")</f>
        <v>May</v>
      </c>
      <c r="E27" t="str">
        <f t="shared" si="0"/>
        <v>May 2025</v>
      </c>
      <c r="F27" s="8" t="s">
        <v>44</v>
      </c>
      <c r="G27" s="8" t="s">
        <v>36</v>
      </c>
      <c r="H27" s="8" t="s">
        <v>37</v>
      </c>
      <c r="I27" s="8" t="s">
        <v>38</v>
      </c>
      <c r="J27" s="8" t="s">
        <v>59</v>
      </c>
      <c r="K27" s="8" t="s">
        <v>71</v>
      </c>
      <c r="L27" s="8" t="s">
        <v>41</v>
      </c>
      <c r="M27" s="8" t="s">
        <v>56</v>
      </c>
      <c r="N27" s="3">
        <v>4</v>
      </c>
      <c r="O27" s="15">
        <v>133.85</v>
      </c>
      <c r="P27" s="17">
        <v>0</v>
      </c>
      <c r="Q27" s="15">
        <v>93.01</v>
      </c>
      <c r="R27" s="15">
        <f t="shared" si="1"/>
        <v>535.4</v>
      </c>
      <c r="S27" s="15">
        <f t="shared" si="2"/>
        <v>372.04</v>
      </c>
      <c r="T27" s="15">
        <f t="shared" si="3"/>
        <v>163.35999999999996</v>
      </c>
      <c r="U27" s="17">
        <f t="shared" si="4"/>
        <v>0.30511766903249898</v>
      </c>
      <c r="V27" s="3">
        <v>9</v>
      </c>
      <c r="W27" s="12">
        <v>5</v>
      </c>
    </row>
    <row r="28" spans="1:23">
      <c r="A28" s="8" t="s">
        <v>107</v>
      </c>
      <c r="B28" s="10">
        <v>46001</v>
      </c>
      <c r="C28" s="10" t="str">
        <f>TEXT(SalesDataTable[[#This Row],[Order_Date]],"YYYY")</f>
        <v>2025</v>
      </c>
      <c r="D28" s="10" t="str">
        <f>TEXT(SalesDataTable[[#This Row],[Order_Date]],"MMM")</f>
        <v>Dec</v>
      </c>
      <c r="E28" t="str">
        <f t="shared" si="0"/>
        <v>Dec 2025</v>
      </c>
      <c r="F28" s="8" t="s">
        <v>35</v>
      </c>
      <c r="G28" s="8" t="s">
        <v>82</v>
      </c>
      <c r="H28" s="8" t="s">
        <v>103</v>
      </c>
      <c r="I28" s="8" t="s">
        <v>47</v>
      </c>
      <c r="J28" s="8" t="s">
        <v>48</v>
      </c>
      <c r="K28" s="8" t="s">
        <v>71</v>
      </c>
      <c r="L28" s="8" t="s">
        <v>41</v>
      </c>
      <c r="M28" s="8" t="s">
        <v>51</v>
      </c>
      <c r="N28" s="3">
        <v>5</v>
      </c>
      <c r="O28" s="15">
        <v>22.25</v>
      </c>
      <c r="P28" s="17">
        <v>0</v>
      </c>
      <c r="Q28" s="15">
        <v>11.29</v>
      </c>
      <c r="R28" s="15">
        <f t="shared" si="1"/>
        <v>111.25</v>
      </c>
      <c r="S28" s="15">
        <f t="shared" si="2"/>
        <v>56.449999999999996</v>
      </c>
      <c r="T28" s="15">
        <f t="shared" si="3"/>
        <v>54.800000000000004</v>
      </c>
      <c r="U28" s="17">
        <f t="shared" si="4"/>
        <v>0.4925842696629214</v>
      </c>
      <c r="V28" s="3">
        <v>5</v>
      </c>
      <c r="W28" s="12">
        <v>4</v>
      </c>
    </row>
    <row r="29" spans="1:23">
      <c r="A29" s="8" t="s">
        <v>108</v>
      </c>
      <c r="B29" s="10">
        <v>45756</v>
      </c>
      <c r="C29" s="10" t="str">
        <f>TEXT(SalesDataTable[[#This Row],[Order_Date]],"YYYY")</f>
        <v>2025</v>
      </c>
      <c r="D29" s="10" t="str">
        <f>TEXT(SalesDataTable[[#This Row],[Order_Date]],"MMM")</f>
        <v>Apr</v>
      </c>
      <c r="E29" t="str">
        <f t="shared" si="0"/>
        <v>Apr 2025</v>
      </c>
      <c r="F29" s="8" t="s">
        <v>44</v>
      </c>
      <c r="G29" s="8" t="s">
        <v>45</v>
      </c>
      <c r="H29" s="8" t="s">
        <v>74</v>
      </c>
      <c r="I29" s="8" t="s">
        <v>54</v>
      </c>
      <c r="J29" s="8" t="s">
        <v>70</v>
      </c>
      <c r="K29" s="8" t="s">
        <v>71</v>
      </c>
      <c r="L29" s="8" t="s">
        <v>41</v>
      </c>
      <c r="M29" s="8" t="s">
        <v>85</v>
      </c>
      <c r="N29" s="3">
        <v>11</v>
      </c>
      <c r="O29" s="15">
        <v>61.51</v>
      </c>
      <c r="P29" s="17">
        <v>0.05</v>
      </c>
      <c r="Q29" s="15">
        <v>39.74</v>
      </c>
      <c r="R29" s="15">
        <f t="shared" si="1"/>
        <v>642.77949999999998</v>
      </c>
      <c r="S29" s="15">
        <f t="shared" si="2"/>
        <v>437.14000000000004</v>
      </c>
      <c r="T29" s="15">
        <f t="shared" si="3"/>
        <v>205.63949999999994</v>
      </c>
      <c r="U29" s="17">
        <f t="shared" si="4"/>
        <v>0.31992230617186757</v>
      </c>
      <c r="V29" s="3">
        <v>6</v>
      </c>
      <c r="W29" s="12">
        <v>4</v>
      </c>
    </row>
    <row r="30" spans="1:23">
      <c r="A30" s="8" t="s">
        <v>109</v>
      </c>
      <c r="B30" s="10">
        <v>45884</v>
      </c>
      <c r="C30" s="10" t="str">
        <f>TEXT(SalesDataTable[[#This Row],[Order_Date]],"YYYY")</f>
        <v>2025</v>
      </c>
      <c r="D30" s="10" t="str">
        <f>TEXT(SalesDataTable[[#This Row],[Order_Date]],"MMM")</f>
        <v>Aug</v>
      </c>
      <c r="E30" t="str">
        <f t="shared" si="0"/>
        <v>Aug 2025</v>
      </c>
      <c r="F30" s="8" t="s">
        <v>44</v>
      </c>
      <c r="G30" s="8" t="s">
        <v>82</v>
      </c>
      <c r="H30" s="8" t="s">
        <v>83</v>
      </c>
      <c r="I30" s="8" t="s">
        <v>47</v>
      </c>
      <c r="J30" s="8" t="s">
        <v>78</v>
      </c>
      <c r="K30" s="8" t="s">
        <v>71</v>
      </c>
      <c r="L30" s="8" t="s">
        <v>76</v>
      </c>
      <c r="M30" s="8" t="s">
        <v>72</v>
      </c>
      <c r="N30" s="3">
        <v>4</v>
      </c>
      <c r="O30" s="15">
        <v>47.16</v>
      </c>
      <c r="P30" s="17">
        <v>0</v>
      </c>
      <c r="Q30" s="15">
        <v>25.81</v>
      </c>
      <c r="R30" s="15">
        <f t="shared" si="1"/>
        <v>188.64</v>
      </c>
      <c r="S30" s="15">
        <f t="shared" si="2"/>
        <v>103.24</v>
      </c>
      <c r="T30" s="15">
        <f t="shared" si="3"/>
        <v>85.399999999999991</v>
      </c>
      <c r="U30" s="17">
        <f t="shared" si="4"/>
        <v>0.45271416454622559</v>
      </c>
      <c r="V30" s="3">
        <v>1</v>
      </c>
      <c r="W30" s="12">
        <v>3</v>
      </c>
    </row>
    <row r="31" spans="1:23">
      <c r="A31" s="8" t="s">
        <v>110</v>
      </c>
      <c r="B31" s="10">
        <v>45901</v>
      </c>
      <c r="C31" s="10" t="str">
        <f>TEXT(SalesDataTable[[#This Row],[Order_Date]],"YYYY")</f>
        <v>2025</v>
      </c>
      <c r="D31" s="10" t="str">
        <f>TEXT(SalesDataTable[[#This Row],[Order_Date]],"MMM")</f>
        <v>Sep</v>
      </c>
      <c r="E31" t="str">
        <f t="shared" si="0"/>
        <v>Sep 2025</v>
      </c>
      <c r="F31" s="8" t="s">
        <v>44</v>
      </c>
      <c r="G31" s="8" t="s">
        <v>36</v>
      </c>
      <c r="H31" s="8" t="s">
        <v>53</v>
      </c>
      <c r="I31" s="8" t="s">
        <v>47</v>
      </c>
      <c r="J31" s="8" t="s">
        <v>78</v>
      </c>
      <c r="K31" s="8" t="s">
        <v>71</v>
      </c>
      <c r="L31" s="8" t="s">
        <v>67</v>
      </c>
      <c r="M31" s="8" t="s">
        <v>68</v>
      </c>
      <c r="N31" s="3">
        <v>3</v>
      </c>
      <c r="O31" s="15">
        <v>46.99</v>
      </c>
      <c r="P31" s="17">
        <v>0.1</v>
      </c>
      <c r="Q31" s="15">
        <v>24.86</v>
      </c>
      <c r="R31" s="15">
        <f t="shared" si="1"/>
        <v>126.873</v>
      </c>
      <c r="S31" s="15">
        <f t="shared" si="2"/>
        <v>74.58</v>
      </c>
      <c r="T31" s="15">
        <f t="shared" si="3"/>
        <v>52.293000000000006</v>
      </c>
      <c r="U31" s="17">
        <f t="shared" si="4"/>
        <v>0.41216807358539648</v>
      </c>
      <c r="V31" s="3">
        <v>2</v>
      </c>
      <c r="W31" s="12">
        <v>5</v>
      </c>
    </row>
    <row r="32" spans="1:23">
      <c r="A32" s="8" t="s">
        <v>111</v>
      </c>
      <c r="B32" s="10">
        <v>45770</v>
      </c>
      <c r="C32" s="10" t="str">
        <f>TEXT(SalesDataTable[[#This Row],[Order_Date]],"YYYY")</f>
        <v>2025</v>
      </c>
      <c r="D32" s="10" t="str">
        <f>TEXT(SalesDataTable[[#This Row],[Order_Date]],"MMM")</f>
        <v>Apr</v>
      </c>
      <c r="E32" t="str">
        <f t="shared" si="0"/>
        <v>Apr 2025</v>
      </c>
      <c r="F32" s="8" t="s">
        <v>58</v>
      </c>
      <c r="G32" s="8" t="s">
        <v>82</v>
      </c>
      <c r="H32" s="8" t="s">
        <v>83</v>
      </c>
      <c r="I32" s="8" t="s">
        <v>47</v>
      </c>
      <c r="J32" s="8" t="s">
        <v>105</v>
      </c>
      <c r="K32" s="8" t="s">
        <v>71</v>
      </c>
      <c r="L32" s="8" t="s">
        <v>41</v>
      </c>
      <c r="M32" s="8" t="s">
        <v>56</v>
      </c>
      <c r="N32" s="3">
        <v>3</v>
      </c>
      <c r="O32" s="15">
        <v>37.67</v>
      </c>
      <c r="P32" s="17">
        <v>0.2</v>
      </c>
      <c r="Q32" s="15">
        <v>20.54</v>
      </c>
      <c r="R32" s="15">
        <f t="shared" si="1"/>
        <v>90.408000000000015</v>
      </c>
      <c r="S32" s="15">
        <f t="shared" si="2"/>
        <v>61.62</v>
      </c>
      <c r="T32" s="15">
        <f t="shared" si="3"/>
        <v>28.788000000000018</v>
      </c>
      <c r="U32" s="17">
        <f t="shared" si="4"/>
        <v>0.31842314839394759</v>
      </c>
      <c r="V32" s="3">
        <v>6</v>
      </c>
      <c r="W32" s="12">
        <v>5</v>
      </c>
    </row>
    <row r="33" spans="1:23">
      <c r="A33" s="8" t="s">
        <v>112</v>
      </c>
      <c r="B33" s="10">
        <v>45884</v>
      </c>
      <c r="C33" s="10" t="str">
        <f>TEXT(SalesDataTable[[#This Row],[Order_Date]],"YYYY")</f>
        <v>2025</v>
      </c>
      <c r="D33" s="10" t="str">
        <f>TEXT(SalesDataTable[[#This Row],[Order_Date]],"MMM")</f>
        <v>Aug</v>
      </c>
      <c r="E33" t="str">
        <f t="shared" si="0"/>
        <v>Aug 2025</v>
      </c>
      <c r="F33" s="8" t="s">
        <v>44</v>
      </c>
      <c r="G33" s="8" t="s">
        <v>45</v>
      </c>
      <c r="H33" s="8" t="s">
        <v>74</v>
      </c>
      <c r="I33" s="8" t="s">
        <v>47</v>
      </c>
      <c r="J33" s="8" t="s">
        <v>78</v>
      </c>
      <c r="K33" s="8" t="s">
        <v>71</v>
      </c>
      <c r="L33" s="8" t="s">
        <v>76</v>
      </c>
      <c r="M33" s="8" t="s">
        <v>68</v>
      </c>
      <c r="N33" s="3">
        <v>11</v>
      </c>
      <c r="O33" s="15">
        <v>43.25</v>
      </c>
      <c r="P33" s="17">
        <v>0.05</v>
      </c>
      <c r="Q33" s="15">
        <v>28.2</v>
      </c>
      <c r="R33" s="15">
        <f t="shared" si="1"/>
        <v>451.96249999999998</v>
      </c>
      <c r="S33" s="15">
        <f t="shared" si="2"/>
        <v>310.2</v>
      </c>
      <c r="T33" s="15">
        <f t="shared" si="3"/>
        <v>141.76249999999999</v>
      </c>
      <c r="U33" s="17">
        <f t="shared" si="4"/>
        <v>0.31365987222391239</v>
      </c>
      <c r="V33" s="3">
        <v>4</v>
      </c>
      <c r="W33" s="12">
        <v>4</v>
      </c>
    </row>
    <row r="34" spans="1:23">
      <c r="A34" s="8" t="s">
        <v>113</v>
      </c>
      <c r="B34" s="10">
        <v>45697</v>
      </c>
      <c r="C34" s="10" t="str">
        <f>TEXT(SalesDataTable[[#This Row],[Order_Date]],"YYYY")</f>
        <v>2025</v>
      </c>
      <c r="D34" s="10" t="str">
        <f>TEXT(SalesDataTable[[#This Row],[Order_Date]],"MMM")</f>
        <v>Feb</v>
      </c>
      <c r="E34" t="str">
        <f t="shared" si="0"/>
        <v>Feb 2025</v>
      </c>
      <c r="F34" s="8" t="s">
        <v>44</v>
      </c>
      <c r="G34" s="8" t="s">
        <v>63</v>
      </c>
      <c r="H34" s="8" t="s">
        <v>64</v>
      </c>
      <c r="I34" s="8" t="s">
        <v>65</v>
      </c>
      <c r="J34" s="8" t="s">
        <v>66</v>
      </c>
      <c r="K34" s="8" t="s">
        <v>49</v>
      </c>
      <c r="L34" s="8" t="s">
        <v>50</v>
      </c>
      <c r="M34" s="8" t="s">
        <v>68</v>
      </c>
      <c r="N34" s="3">
        <v>14</v>
      </c>
      <c r="O34" s="15">
        <v>26.32</v>
      </c>
      <c r="P34" s="17">
        <v>0</v>
      </c>
      <c r="Q34" s="15">
        <v>14.46</v>
      </c>
      <c r="R34" s="15">
        <f t="shared" si="1"/>
        <v>368.48</v>
      </c>
      <c r="S34" s="15">
        <f t="shared" si="2"/>
        <v>202.44</v>
      </c>
      <c r="T34" s="15">
        <f t="shared" si="3"/>
        <v>166.04000000000002</v>
      </c>
      <c r="U34" s="17">
        <f t="shared" si="4"/>
        <v>0.45060790273556234</v>
      </c>
      <c r="V34" s="3">
        <v>7</v>
      </c>
      <c r="W34" s="12">
        <v>4</v>
      </c>
    </row>
    <row r="35" spans="1:23">
      <c r="A35" s="8" t="s">
        <v>114</v>
      </c>
      <c r="B35" s="10">
        <v>45896</v>
      </c>
      <c r="C35" s="10" t="str">
        <f>TEXT(SalesDataTable[[#This Row],[Order_Date]],"YYYY")</f>
        <v>2025</v>
      </c>
      <c r="D35" s="10" t="str">
        <f>TEXT(SalesDataTable[[#This Row],[Order_Date]],"MMM")</f>
        <v>Aug</v>
      </c>
      <c r="E35" t="str">
        <f t="shared" si="0"/>
        <v>Aug 2025</v>
      </c>
      <c r="F35" s="8" t="s">
        <v>35</v>
      </c>
      <c r="G35" s="8" t="s">
        <v>45</v>
      </c>
      <c r="H35" s="8" t="s">
        <v>46</v>
      </c>
      <c r="I35" s="8" t="s">
        <v>65</v>
      </c>
      <c r="J35" s="8" t="s">
        <v>87</v>
      </c>
      <c r="K35" s="8" t="s">
        <v>40</v>
      </c>
      <c r="L35" s="8" t="s">
        <v>41</v>
      </c>
      <c r="M35" s="8" t="s">
        <v>42</v>
      </c>
      <c r="N35" s="3">
        <v>14</v>
      </c>
      <c r="O35" s="15">
        <v>10.050000000000001</v>
      </c>
      <c r="P35" s="17">
        <v>0</v>
      </c>
      <c r="Q35" s="15">
        <v>4.82</v>
      </c>
      <c r="R35" s="15">
        <f t="shared" si="1"/>
        <v>140.70000000000002</v>
      </c>
      <c r="S35" s="15">
        <f t="shared" si="2"/>
        <v>67.48</v>
      </c>
      <c r="T35" s="15">
        <f t="shared" si="3"/>
        <v>73.220000000000013</v>
      </c>
      <c r="U35" s="17">
        <f t="shared" si="4"/>
        <v>0.52039800995024876</v>
      </c>
      <c r="V35" s="3">
        <v>7</v>
      </c>
      <c r="W35" s="12">
        <v>5</v>
      </c>
    </row>
    <row r="36" spans="1:23">
      <c r="A36" s="8" t="s">
        <v>115</v>
      </c>
      <c r="B36" s="10">
        <v>45872</v>
      </c>
      <c r="C36" s="10" t="str">
        <f>TEXT(SalesDataTable[[#This Row],[Order_Date]],"YYYY")</f>
        <v>2025</v>
      </c>
      <c r="D36" s="10" t="str">
        <f>TEXT(SalesDataTable[[#This Row],[Order_Date]],"MMM")</f>
        <v>Aug</v>
      </c>
      <c r="E36" t="str">
        <f t="shared" si="0"/>
        <v>Aug 2025</v>
      </c>
      <c r="F36" s="8" t="s">
        <v>44</v>
      </c>
      <c r="G36" s="8" t="s">
        <v>82</v>
      </c>
      <c r="H36" s="8" t="s">
        <v>103</v>
      </c>
      <c r="I36" s="8" t="s">
        <v>65</v>
      </c>
      <c r="J36" s="8" t="s">
        <v>87</v>
      </c>
      <c r="K36" s="8" t="s">
        <v>71</v>
      </c>
      <c r="L36" s="8" t="s">
        <v>67</v>
      </c>
      <c r="M36" s="8" t="s">
        <v>51</v>
      </c>
      <c r="N36" s="3">
        <v>7</v>
      </c>
      <c r="O36" s="15">
        <v>10.85</v>
      </c>
      <c r="P36" s="17">
        <v>0.2</v>
      </c>
      <c r="Q36" s="15">
        <v>4.8</v>
      </c>
      <c r="R36" s="15">
        <f t="shared" si="1"/>
        <v>60.760000000000005</v>
      </c>
      <c r="S36" s="15">
        <f t="shared" si="2"/>
        <v>33.6</v>
      </c>
      <c r="T36" s="15">
        <f t="shared" si="3"/>
        <v>27.160000000000004</v>
      </c>
      <c r="U36" s="17">
        <f t="shared" si="4"/>
        <v>0.44700460829493088</v>
      </c>
      <c r="V36" s="3">
        <v>9</v>
      </c>
      <c r="W36" s="12">
        <v>3</v>
      </c>
    </row>
    <row r="37" spans="1:23">
      <c r="A37" s="8" t="s">
        <v>116</v>
      </c>
      <c r="B37" s="10">
        <v>45859</v>
      </c>
      <c r="C37" s="10" t="str">
        <f>TEXT(SalesDataTable[[#This Row],[Order_Date]],"YYYY")</f>
        <v>2025</v>
      </c>
      <c r="D37" s="10" t="str">
        <f>TEXT(SalesDataTable[[#This Row],[Order_Date]],"MMM")</f>
        <v>Jul</v>
      </c>
      <c r="E37" t="str">
        <f t="shared" si="0"/>
        <v>Jul 2025</v>
      </c>
      <c r="F37" s="8" t="s">
        <v>44</v>
      </c>
      <c r="G37" s="8" t="s">
        <v>36</v>
      </c>
      <c r="H37" s="8" t="s">
        <v>37</v>
      </c>
      <c r="I37" s="8" t="s">
        <v>38</v>
      </c>
      <c r="J37" s="8" t="s">
        <v>39</v>
      </c>
      <c r="K37" s="8" t="s">
        <v>49</v>
      </c>
      <c r="L37" s="8" t="s">
        <v>76</v>
      </c>
      <c r="M37" s="8" t="s">
        <v>56</v>
      </c>
      <c r="N37" s="3">
        <v>6</v>
      </c>
      <c r="O37" s="15">
        <v>246.11</v>
      </c>
      <c r="P37" s="17">
        <v>0.1</v>
      </c>
      <c r="Q37" s="15">
        <v>165.29</v>
      </c>
      <c r="R37" s="15">
        <f t="shared" si="1"/>
        <v>1328.9940000000001</v>
      </c>
      <c r="S37" s="15">
        <f t="shared" si="2"/>
        <v>991.74</v>
      </c>
      <c r="T37" s="15">
        <f t="shared" si="3"/>
        <v>337.25400000000013</v>
      </c>
      <c r="U37" s="17">
        <f t="shared" si="4"/>
        <v>0.2537663826924727</v>
      </c>
      <c r="V37" s="3">
        <v>7</v>
      </c>
      <c r="W37" s="12">
        <v>4</v>
      </c>
    </row>
    <row r="38" spans="1:23">
      <c r="A38" s="8" t="s">
        <v>117</v>
      </c>
      <c r="B38" s="10">
        <v>45873</v>
      </c>
      <c r="C38" s="10" t="str">
        <f>TEXT(SalesDataTable[[#This Row],[Order_Date]],"YYYY")</f>
        <v>2025</v>
      </c>
      <c r="D38" s="10" t="str">
        <f>TEXT(SalesDataTable[[#This Row],[Order_Date]],"MMM")</f>
        <v>Aug</v>
      </c>
      <c r="E38" t="str">
        <f t="shared" si="0"/>
        <v>Aug 2025</v>
      </c>
      <c r="F38" s="8" t="s">
        <v>44</v>
      </c>
      <c r="G38" s="8" t="s">
        <v>63</v>
      </c>
      <c r="H38" s="8" t="s">
        <v>64</v>
      </c>
      <c r="I38" s="8" t="s">
        <v>47</v>
      </c>
      <c r="J38" s="8" t="s">
        <v>105</v>
      </c>
      <c r="K38" s="8" t="s">
        <v>49</v>
      </c>
      <c r="L38" s="8" t="s">
        <v>41</v>
      </c>
      <c r="M38" s="8" t="s">
        <v>51</v>
      </c>
      <c r="N38" s="3">
        <v>1</v>
      </c>
      <c r="O38" s="15">
        <v>37.31</v>
      </c>
      <c r="P38" s="17">
        <v>0</v>
      </c>
      <c r="Q38" s="15">
        <v>21.44</v>
      </c>
      <c r="R38" s="15">
        <f t="shared" si="1"/>
        <v>37.31</v>
      </c>
      <c r="S38" s="15">
        <f t="shared" si="2"/>
        <v>21.44</v>
      </c>
      <c r="T38" s="15">
        <f t="shared" si="3"/>
        <v>15.870000000000001</v>
      </c>
      <c r="U38" s="17">
        <f t="shared" si="4"/>
        <v>0.42535513267220587</v>
      </c>
      <c r="V38" s="3">
        <v>1</v>
      </c>
      <c r="W38" s="12">
        <v>5</v>
      </c>
    </row>
    <row r="39" spans="1:23">
      <c r="A39" s="8" t="s">
        <v>118</v>
      </c>
      <c r="B39" s="10">
        <v>45780</v>
      </c>
      <c r="C39" s="10" t="str">
        <f>TEXT(SalesDataTable[[#This Row],[Order_Date]],"YYYY")</f>
        <v>2025</v>
      </c>
      <c r="D39" s="10" t="str">
        <f>TEXT(SalesDataTable[[#This Row],[Order_Date]],"MMM")</f>
        <v>May</v>
      </c>
      <c r="E39" t="str">
        <f t="shared" si="0"/>
        <v>May 2025</v>
      </c>
      <c r="F39" s="8" t="s">
        <v>44</v>
      </c>
      <c r="G39" s="8" t="s">
        <v>82</v>
      </c>
      <c r="H39" s="8" t="s">
        <v>103</v>
      </c>
      <c r="I39" s="8" t="s">
        <v>38</v>
      </c>
      <c r="J39" s="8" t="s">
        <v>39</v>
      </c>
      <c r="K39" s="8" t="s">
        <v>71</v>
      </c>
      <c r="L39" s="8" t="s">
        <v>76</v>
      </c>
      <c r="M39" s="8" t="s">
        <v>68</v>
      </c>
      <c r="N39" s="3">
        <v>2</v>
      </c>
      <c r="O39" s="15">
        <v>278.49</v>
      </c>
      <c r="P39" s="17">
        <v>0</v>
      </c>
      <c r="Q39" s="15">
        <v>160.85</v>
      </c>
      <c r="R39" s="15">
        <f t="shared" si="1"/>
        <v>556.98</v>
      </c>
      <c r="S39" s="15">
        <f t="shared" si="2"/>
        <v>321.7</v>
      </c>
      <c r="T39" s="15">
        <f t="shared" si="3"/>
        <v>235.28000000000003</v>
      </c>
      <c r="U39" s="17">
        <f t="shared" si="4"/>
        <v>0.42242091277963306</v>
      </c>
      <c r="V39" s="3">
        <v>1</v>
      </c>
      <c r="W39" s="12">
        <v>5</v>
      </c>
    </row>
    <row r="40" spans="1:23">
      <c r="A40" s="8" t="s">
        <v>119</v>
      </c>
      <c r="B40" s="10">
        <v>45952</v>
      </c>
      <c r="C40" s="10" t="str">
        <f>TEXT(SalesDataTable[[#This Row],[Order_Date]],"YYYY")</f>
        <v>2025</v>
      </c>
      <c r="D40" s="10" t="str">
        <f>TEXT(SalesDataTable[[#This Row],[Order_Date]],"MMM")</f>
        <v>Oct</v>
      </c>
      <c r="E40" t="str">
        <f t="shared" si="0"/>
        <v>Oct 2025</v>
      </c>
      <c r="F40" s="8" t="s">
        <v>35</v>
      </c>
      <c r="G40" s="8" t="s">
        <v>45</v>
      </c>
      <c r="H40" s="8" t="s">
        <v>120</v>
      </c>
      <c r="I40" s="8" t="s">
        <v>54</v>
      </c>
      <c r="J40" s="8" t="s">
        <v>70</v>
      </c>
      <c r="K40" s="8" t="s">
        <v>40</v>
      </c>
      <c r="L40" s="8" t="s">
        <v>50</v>
      </c>
      <c r="M40" s="8" t="s">
        <v>72</v>
      </c>
      <c r="N40" s="3">
        <v>24</v>
      </c>
      <c r="O40" s="15">
        <v>69.55</v>
      </c>
      <c r="P40" s="17">
        <v>0.05</v>
      </c>
      <c r="Q40" s="15">
        <v>40.130000000000003</v>
      </c>
      <c r="R40" s="15">
        <f t="shared" si="1"/>
        <v>1585.7399999999998</v>
      </c>
      <c r="S40" s="15">
        <f t="shared" si="2"/>
        <v>963.12000000000012</v>
      </c>
      <c r="T40" s="15">
        <f t="shared" si="3"/>
        <v>622.61999999999966</v>
      </c>
      <c r="U40" s="17">
        <f t="shared" si="4"/>
        <v>0.39263687615876486</v>
      </c>
      <c r="V40" s="3">
        <v>2</v>
      </c>
      <c r="W40" s="12">
        <v>5</v>
      </c>
    </row>
    <row r="41" spans="1:23">
      <c r="A41" s="8" t="s">
        <v>121</v>
      </c>
      <c r="B41" s="10">
        <v>45947</v>
      </c>
      <c r="C41" s="10" t="str">
        <f>TEXT(SalesDataTable[[#This Row],[Order_Date]],"YYYY")</f>
        <v>2025</v>
      </c>
      <c r="D41" s="10" t="str">
        <f>TEXT(SalesDataTable[[#This Row],[Order_Date]],"MMM")</f>
        <v>Oct</v>
      </c>
      <c r="E41" t="str">
        <f t="shared" si="0"/>
        <v>Oct 2025</v>
      </c>
      <c r="F41" s="8" t="s">
        <v>35</v>
      </c>
      <c r="G41" s="8" t="s">
        <v>36</v>
      </c>
      <c r="H41" s="8" t="s">
        <v>53</v>
      </c>
      <c r="I41" s="8" t="s">
        <v>47</v>
      </c>
      <c r="J41" s="8" t="s">
        <v>48</v>
      </c>
      <c r="K41" s="8" t="s">
        <v>40</v>
      </c>
      <c r="L41" s="8" t="s">
        <v>41</v>
      </c>
      <c r="M41" s="8" t="s">
        <v>56</v>
      </c>
      <c r="N41" s="3">
        <v>8</v>
      </c>
      <c r="O41" s="15">
        <v>20.309999999999999</v>
      </c>
      <c r="P41" s="17">
        <v>0.05</v>
      </c>
      <c r="Q41" s="15">
        <v>11.81</v>
      </c>
      <c r="R41" s="15">
        <f t="shared" si="1"/>
        <v>154.35599999999999</v>
      </c>
      <c r="S41" s="15">
        <f t="shared" si="2"/>
        <v>94.48</v>
      </c>
      <c r="T41" s="15">
        <f t="shared" si="3"/>
        <v>59.875999999999991</v>
      </c>
      <c r="U41" s="17">
        <f t="shared" si="4"/>
        <v>0.38790847132602552</v>
      </c>
      <c r="V41" s="3">
        <v>8</v>
      </c>
      <c r="W41" s="12">
        <v>5</v>
      </c>
    </row>
    <row r="42" spans="1:23">
      <c r="A42" s="8" t="s">
        <v>122</v>
      </c>
      <c r="B42" s="10">
        <v>45880</v>
      </c>
      <c r="C42" s="10" t="str">
        <f>TEXT(SalesDataTable[[#This Row],[Order_Date]],"YYYY")</f>
        <v>2025</v>
      </c>
      <c r="D42" s="10" t="str">
        <f>TEXT(SalesDataTable[[#This Row],[Order_Date]],"MMM")</f>
        <v>Aug</v>
      </c>
      <c r="E42" t="str">
        <f t="shared" si="0"/>
        <v>Aug 2025</v>
      </c>
      <c r="F42" s="8" t="s">
        <v>58</v>
      </c>
      <c r="G42" s="8" t="s">
        <v>82</v>
      </c>
      <c r="H42" s="8" t="s">
        <v>83</v>
      </c>
      <c r="I42" s="8" t="s">
        <v>47</v>
      </c>
      <c r="J42" s="8" t="s">
        <v>48</v>
      </c>
      <c r="K42" s="8" t="s">
        <v>71</v>
      </c>
      <c r="L42" s="8" t="s">
        <v>67</v>
      </c>
      <c r="M42" s="8" t="s">
        <v>56</v>
      </c>
      <c r="N42" s="3">
        <v>7</v>
      </c>
      <c r="O42" s="15">
        <v>23.8</v>
      </c>
      <c r="P42" s="17">
        <v>0</v>
      </c>
      <c r="Q42" s="15">
        <v>11.16</v>
      </c>
      <c r="R42" s="15">
        <f t="shared" si="1"/>
        <v>166.6</v>
      </c>
      <c r="S42" s="15">
        <f t="shared" si="2"/>
        <v>78.12</v>
      </c>
      <c r="T42" s="15">
        <f t="shared" si="3"/>
        <v>88.47999999999999</v>
      </c>
      <c r="U42" s="17">
        <f t="shared" si="4"/>
        <v>0.53109243697478992</v>
      </c>
      <c r="V42" s="3">
        <v>4</v>
      </c>
      <c r="W42" s="12">
        <v>5</v>
      </c>
    </row>
    <row r="43" spans="1:23">
      <c r="A43" s="8" t="s">
        <v>123</v>
      </c>
      <c r="B43" s="10">
        <v>45702</v>
      </c>
      <c r="C43" s="10" t="str">
        <f>TEXT(SalesDataTable[[#This Row],[Order_Date]],"YYYY")</f>
        <v>2025</v>
      </c>
      <c r="D43" s="10" t="str">
        <f>TEXT(SalesDataTable[[#This Row],[Order_Date]],"MMM")</f>
        <v>Feb</v>
      </c>
      <c r="E43" t="str">
        <f t="shared" si="0"/>
        <v>Feb 2025</v>
      </c>
      <c r="F43" s="8" t="s">
        <v>35</v>
      </c>
      <c r="G43" s="8" t="s">
        <v>63</v>
      </c>
      <c r="H43" s="8" t="s">
        <v>124</v>
      </c>
      <c r="I43" s="8" t="s">
        <v>65</v>
      </c>
      <c r="J43" s="8" t="s">
        <v>87</v>
      </c>
      <c r="K43" s="8" t="s">
        <v>71</v>
      </c>
      <c r="L43" s="8" t="s">
        <v>76</v>
      </c>
      <c r="M43" s="8" t="s">
        <v>72</v>
      </c>
      <c r="N43" s="3">
        <v>17</v>
      </c>
      <c r="O43" s="15">
        <v>10.87</v>
      </c>
      <c r="P43" s="17">
        <v>0</v>
      </c>
      <c r="Q43" s="15">
        <v>4.2699999999999996</v>
      </c>
      <c r="R43" s="15">
        <f t="shared" si="1"/>
        <v>184.79</v>
      </c>
      <c r="S43" s="15">
        <f t="shared" si="2"/>
        <v>72.589999999999989</v>
      </c>
      <c r="T43" s="15">
        <f t="shared" si="3"/>
        <v>112.2</v>
      </c>
      <c r="U43" s="17">
        <f t="shared" si="4"/>
        <v>0.60717571297148121</v>
      </c>
      <c r="V43" s="3">
        <v>5</v>
      </c>
      <c r="W43" s="12">
        <v>4</v>
      </c>
    </row>
    <row r="44" spans="1:23">
      <c r="A44" s="8" t="s">
        <v>125</v>
      </c>
      <c r="B44" s="10">
        <v>45963</v>
      </c>
      <c r="C44" s="10" t="str">
        <f>TEXT(SalesDataTable[[#This Row],[Order_Date]],"YYYY")</f>
        <v>2025</v>
      </c>
      <c r="D44" s="10" t="str">
        <f>TEXT(SalesDataTable[[#This Row],[Order_Date]],"MMM")</f>
        <v>Nov</v>
      </c>
      <c r="E44" t="str">
        <f t="shared" si="0"/>
        <v>Nov 2025</v>
      </c>
      <c r="F44" s="8" t="s">
        <v>35</v>
      </c>
      <c r="G44" s="8" t="s">
        <v>63</v>
      </c>
      <c r="H44" s="8" t="s">
        <v>98</v>
      </c>
      <c r="I44" s="8" t="s">
        <v>65</v>
      </c>
      <c r="J44" s="8" t="s">
        <v>92</v>
      </c>
      <c r="K44" s="8" t="s">
        <v>40</v>
      </c>
      <c r="L44" s="8" t="s">
        <v>67</v>
      </c>
      <c r="M44" s="8" t="s">
        <v>42</v>
      </c>
      <c r="N44" s="3">
        <v>9</v>
      </c>
      <c r="O44" s="15">
        <v>18.93</v>
      </c>
      <c r="P44" s="17">
        <v>0.05</v>
      </c>
      <c r="Q44" s="15">
        <v>10.23</v>
      </c>
      <c r="R44" s="15">
        <f t="shared" si="1"/>
        <v>161.85149999999999</v>
      </c>
      <c r="S44" s="15">
        <f t="shared" si="2"/>
        <v>92.070000000000007</v>
      </c>
      <c r="T44" s="15">
        <f t="shared" si="3"/>
        <v>69.78149999999998</v>
      </c>
      <c r="U44" s="17">
        <f t="shared" si="4"/>
        <v>0.43114521644841097</v>
      </c>
      <c r="V44" s="3">
        <v>1</v>
      </c>
      <c r="W44" s="12">
        <v>3</v>
      </c>
    </row>
    <row r="45" spans="1:23">
      <c r="A45" s="8" t="s">
        <v>126</v>
      </c>
      <c r="B45" s="10">
        <v>45771</v>
      </c>
      <c r="C45" s="10" t="str">
        <f>TEXT(SalesDataTable[[#This Row],[Order_Date]],"YYYY")</f>
        <v>2025</v>
      </c>
      <c r="D45" s="10" t="str">
        <f>TEXT(SalesDataTable[[#This Row],[Order_Date]],"MMM")</f>
        <v>Apr</v>
      </c>
      <c r="E45" t="str">
        <f t="shared" si="0"/>
        <v>Apr 2025</v>
      </c>
      <c r="F45" s="8" t="s">
        <v>44</v>
      </c>
      <c r="G45" s="8" t="s">
        <v>45</v>
      </c>
      <c r="H45" s="8" t="s">
        <v>74</v>
      </c>
      <c r="I45" s="8" t="s">
        <v>65</v>
      </c>
      <c r="J45" s="8" t="s">
        <v>66</v>
      </c>
      <c r="K45" s="8" t="s">
        <v>71</v>
      </c>
      <c r="L45" s="8" t="s">
        <v>67</v>
      </c>
      <c r="M45" s="8" t="s">
        <v>51</v>
      </c>
      <c r="N45" s="3">
        <v>19</v>
      </c>
      <c r="O45" s="15">
        <v>24.32</v>
      </c>
      <c r="P45" s="17">
        <v>0</v>
      </c>
      <c r="Q45" s="15">
        <v>14.45</v>
      </c>
      <c r="R45" s="15">
        <f t="shared" si="1"/>
        <v>462.08</v>
      </c>
      <c r="S45" s="15">
        <f t="shared" si="2"/>
        <v>274.55</v>
      </c>
      <c r="T45" s="15">
        <f t="shared" si="3"/>
        <v>187.52999999999997</v>
      </c>
      <c r="U45" s="17">
        <f t="shared" si="4"/>
        <v>0.40583881578947362</v>
      </c>
      <c r="V45" s="3">
        <v>5</v>
      </c>
      <c r="W45" s="12">
        <v>4</v>
      </c>
    </row>
    <row r="46" spans="1:23">
      <c r="A46" s="8" t="s">
        <v>127</v>
      </c>
      <c r="B46" s="10">
        <v>45756</v>
      </c>
      <c r="C46" s="10" t="str">
        <f>TEXT(SalesDataTable[[#This Row],[Order_Date]],"YYYY")</f>
        <v>2025</v>
      </c>
      <c r="D46" s="10" t="str">
        <f>TEXT(SalesDataTable[[#This Row],[Order_Date]],"MMM")</f>
        <v>Apr</v>
      </c>
      <c r="E46" t="str">
        <f t="shared" si="0"/>
        <v>Apr 2025</v>
      </c>
      <c r="F46" s="8" t="s">
        <v>35</v>
      </c>
      <c r="G46" s="8" t="s">
        <v>63</v>
      </c>
      <c r="H46" s="8" t="s">
        <v>64</v>
      </c>
      <c r="I46" s="8" t="s">
        <v>38</v>
      </c>
      <c r="J46" s="8" t="s">
        <v>39</v>
      </c>
      <c r="K46" s="8" t="s">
        <v>40</v>
      </c>
      <c r="L46" s="8" t="s">
        <v>76</v>
      </c>
      <c r="M46" s="8" t="s">
        <v>51</v>
      </c>
      <c r="N46" s="3">
        <v>5</v>
      </c>
      <c r="O46" s="15">
        <v>290.08999999999997</v>
      </c>
      <c r="P46" s="17">
        <v>0</v>
      </c>
      <c r="Q46" s="15">
        <v>179.05</v>
      </c>
      <c r="R46" s="15">
        <f t="shared" si="1"/>
        <v>1450.4499999999998</v>
      </c>
      <c r="S46" s="15">
        <f t="shared" si="2"/>
        <v>895.25</v>
      </c>
      <c r="T46" s="15">
        <f t="shared" si="3"/>
        <v>555.19999999999982</v>
      </c>
      <c r="U46" s="17">
        <f t="shared" si="4"/>
        <v>0.38277775862663305</v>
      </c>
      <c r="V46" s="3">
        <v>6</v>
      </c>
      <c r="W46" s="12">
        <v>4</v>
      </c>
    </row>
    <row r="47" spans="1:23">
      <c r="A47" s="8" t="s">
        <v>128</v>
      </c>
      <c r="B47" s="10">
        <v>45665</v>
      </c>
      <c r="C47" s="10" t="str">
        <f>TEXT(SalesDataTable[[#This Row],[Order_Date]],"YYYY")</f>
        <v>2025</v>
      </c>
      <c r="D47" s="10" t="str">
        <f>TEXT(SalesDataTable[[#This Row],[Order_Date]],"MMM")</f>
        <v>Jan</v>
      </c>
      <c r="E47" t="str">
        <f t="shared" si="0"/>
        <v>Jan 2025</v>
      </c>
      <c r="F47" s="8" t="s">
        <v>35</v>
      </c>
      <c r="G47" s="8" t="s">
        <v>82</v>
      </c>
      <c r="H47" s="8" t="s">
        <v>103</v>
      </c>
      <c r="I47" s="8" t="s">
        <v>65</v>
      </c>
      <c r="J47" s="8" t="s">
        <v>75</v>
      </c>
      <c r="K47" s="8" t="s">
        <v>71</v>
      </c>
      <c r="L47" s="8" t="s">
        <v>50</v>
      </c>
      <c r="M47" s="8" t="s">
        <v>51</v>
      </c>
      <c r="N47" s="3">
        <v>17</v>
      </c>
      <c r="O47" s="15">
        <v>11.07</v>
      </c>
      <c r="P47" s="17">
        <v>0</v>
      </c>
      <c r="Q47" s="15">
        <v>5.99</v>
      </c>
      <c r="R47" s="15">
        <f t="shared" si="1"/>
        <v>188.19</v>
      </c>
      <c r="S47" s="15">
        <f t="shared" si="2"/>
        <v>101.83</v>
      </c>
      <c r="T47" s="15">
        <f t="shared" si="3"/>
        <v>86.36</v>
      </c>
      <c r="U47" s="17">
        <f t="shared" si="4"/>
        <v>0.45889792231255644</v>
      </c>
      <c r="V47" s="3">
        <v>8</v>
      </c>
      <c r="W47" s="12">
        <v>4</v>
      </c>
    </row>
    <row r="48" spans="1:23">
      <c r="A48" s="8" t="s">
        <v>129</v>
      </c>
      <c r="B48" s="10">
        <v>45752</v>
      </c>
      <c r="C48" s="10" t="str">
        <f>TEXT(SalesDataTable[[#This Row],[Order_Date]],"YYYY")</f>
        <v>2025</v>
      </c>
      <c r="D48" s="10" t="str">
        <f>TEXT(SalesDataTable[[#This Row],[Order_Date]],"MMM")</f>
        <v>Apr</v>
      </c>
      <c r="E48" t="str">
        <f t="shared" si="0"/>
        <v>Apr 2025</v>
      </c>
      <c r="F48" s="8" t="s">
        <v>44</v>
      </c>
      <c r="G48" s="8" t="s">
        <v>36</v>
      </c>
      <c r="H48" s="8" t="s">
        <v>53</v>
      </c>
      <c r="I48" s="8" t="s">
        <v>54</v>
      </c>
      <c r="J48" s="8" t="s">
        <v>130</v>
      </c>
      <c r="K48" s="8" t="s">
        <v>40</v>
      </c>
      <c r="L48" s="8" t="s">
        <v>67</v>
      </c>
      <c r="M48" s="8" t="s">
        <v>72</v>
      </c>
      <c r="N48" s="3">
        <v>20</v>
      </c>
      <c r="O48" s="15">
        <v>41.54</v>
      </c>
      <c r="P48" s="17">
        <v>0</v>
      </c>
      <c r="Q48" s="15">
        <v>22.29</v>
      </c>
      <c r="R48" s="15">
        <f t="shared" si="1"/>
        <v>830.8</v>
      </c>
      <c r="S48" s="15">
        <f t="shared" si="2"/>
        <v>445.79999999999995</v>
      </c>
      <c r="T48" s="15">
        <f t="shared" si="3"/>
        <v>385</v>
      </c>
      <c r="U48" s="17">
        <f t="shared" si="4"/>
        <v>0.46340876263842085</v>
      </c>
      <c r="V48" s="3">
        <v>5</v>
      </c>
      <c r="W48" s="12">
        <v>3</v>
      </c>
    </row>
    <row r="49" spans="1:23">
      <c r="A49" s="8" t="s">
        <v>131</v>
      </c>
      <c r="B49" s="10">
        <v>45785</v>
      </c>
      <c r="C49" s="10" t="str">
        <f>TEXT(SalesDataTable[[#This Row],[Order_Date]],"YYYY")</f>
        <v>2025</v>
      </c>
      <c r="D49" s="10" t="str">
        <f>TEXT(SalesDataTable[[#This Row],[Order_Date]],"MMM")</f>
        <v>May</v>
      </c>
      <c r="E49" t="str">
        <f t="shared" si="0"/>
        <v>May 2025</v>
      </c>
      <c r="F49" s="8" t="s">
        <v>44</v>
      </c>
      <c r="G49" s="8" t="s">
        <v>36</v>
      </c>
      <c r="H49" s="8" t="s">
        <v>61</v>
      </c>
      <c r="I49" s="8" t="s">
        <v>38</v>
      </c>
      <c r="J49" s="8" t="s">
        <v>39</v>
      </c>
      <c r="K49" s="8" t="s">
        <v>71</v>
      </c>
      <c r="L49" s="8" t="s">
        <v>67</v>
      </c>
      <c r="M49" s="8" t="s">
        <v>85</v>
      </c>
      <c r="N49" s="3">
        <v>7</v>
      </c>
      <c r="O49" s="15">
        <v>251.47</v>
      </c>
      <c r="P49" s="17">
        <v>0.05</v>
      </c>
      <c r="Q49" s="15">
        <v>173.29</v>
      </c>
      <c r="R49" s="15">
        <f t="shared" si="1"/>
        <v>1672.2755</v>
      </c>
      <c r="S49" s="15">
        <f t="shared" si="2"/>
        <v>1213.03</v>
      </c>
      <c r="T49" s="15">
        <f t="shared" si="3"/>
        <v>459.24549999999999</v>
      </c>
      <c r="U49" s="17">
        <f t="shared" si="4"/>
        <v>0.27462311084507307</v>
      </c>
      <c r="V49" s="3">
        <v>2</v>
      </c>
      <c r="W49" s="12">
        <v>5</v>
      </c>
    </row>
    <row r="50" spans="1:23">
      <c r="A50" s="8" t="s">
        <v>132</v>
      </c>
      <c r="B50" s="10">
        <v>45764</v>
      </c>
      <c r="C50" s="10" t="str">
        <f>TEXT(SalesDataTable[[#This Row],[Order_Date]],"YYYY")</f>
        <v>2025</v>
      </c>
      <c r="D50" s="10" t="str">
        <f>TEXT(SalesDataTable[[#This Row],[Order_Date]],"MMM")</f>
        <v>Apr</v>
      </c>
      <c r="E50" t="str">
        <f t="shared" si="0"/>
        <v>Apr 2025</v>
      </c>
      <c r="F50" s="8" t="s">
        <v>35</v>
      </c>
      <c r="G50" s="8" t="s">
        <v>82</v>
      </c>
      <c r="H50" s="8" t="s">
        <v>103</v>
      </c>
      <c r="I50" s="8" t="s">
        <v>38</v>
      </c>
      <c r="J50" s="8" t="s">
        <v>39</v>
      </c>
      <c r="K50" s="8" t="s">
        <v>40</v>
      </c>
      <c r="L50" s="8" t="s">
        <v>50</v>
      </c>
      <c r="M50" s="8" t="s">
        <v>72</v>
      </c>
      <c r="N50" s="3">
        <v>7</v>
      </c>
      <c r="O50" s="15">
        <v>259.77</v>
      </c>
      <c r="P50" s="17">
        <v>0</v>
      </c>
      <c r="Q50" s="15">
        <v>172.55</v>
      </c>
      <c r="R50" s="15">
        <f t="shared" si="1"/>
        <v>1818.3899999999999</v>
      </c>
      <c r="S50" s="15">
        <f t="shared" si="2"/>
        <v>1207.8500000000001</v>
      </c>
      <c r="T50" s="15">
        <f t="shared" si="3"/>
        <v>610.53999999999974</v>
      </c>
      <c r="U50" s="17">
        <f t="shared" si="4"/>
        <v>0.33575855564537849</v>
      </c>
      <c r="V50" s="3">
        <v>4</v>
      </c>
      <c r="W50" s="12">
        <v>4</v>
      </c>
    </row>
    <row r="51" spans="1:23">
      <c r="A51" s="8" t="s">
        <v>133</v>
      </c>
      <c r="B51" s="10">
        <v>45802</v>
      </c>
      <c r="C51" s="10" t="str">
        <f>TEXT(SalesDataTable[[#This Row],[Order_Date]],"YYYY")</f>
        <v>2025</v>
      </c>
      <c r="D51" s="10" t="str">
        <f>TEXT(SalesDataTable[[#This Row],[Order_Date]],"MMM")</f>
        <v>May</v>
      </c>
      <c r="E51" t="str">
        <f t="shared" si="0"/>
        <v>May 2025</v>
      </c>
      <c r="F51" s="8" t="s">
        <v>35</v>
      </c>
      <c r="G51" s="8" t="s">
        <v>45</v>
      </c>
      <c r="H51" s="8" t="s">
        <v>46</v>
      </c>
      <c r="I51" s="8" t="s">
        <v>38</v>
      </c>
      <c r="J51" s="8" t="s">
        <v>59</v>
      </c>
      <c r="K51" s="8" t="s">
        <v>71</v>
      </c>
      <c r="L51" s="8" t="s">
        <v>50</v>
      </c>
      <c r="M51" s="8" t="s">
        <v>56</v>
      </c>
      <c r="N51" s="3">
        <v>2</v>
      </c>
      <c r="O51" s="15">
        <v>142.77000000000001</v>
      </c>
      <c r="P51" s="17">
        <v>0.15</v>
      </c>
      <c r="Q51" s="15">
        <v>92.13</v>
      </c>
      <c r="R51" s="15">
        <f t="shared" si="1"/>
        <v>242.709</v>
      </c>
      <c r="S51" s="15">
        <f t="shared" si="2"/>
        <v>184.26</v>
      </c>
      <c r="T51" s="15">
        <f t="shared" si="3"/>
        <v>58.449000000000012</v>
      </c>
      <c r="U51" s="17">
        <f t="shared" si="4"/>
        <v>0.24081925268531457</v>
      </c>
      <c r="V51" s="3">
        <v>3</v>
      </c>
      <c r="W51" s="12">
        <v>3</v>
      </c>
    </row>
    <row r="52" spans="1:23">
      <c r="A52" s="8" t="s">
        <v>134</v>
      </c>
      <c r="B52" s="10">
        <v>45742</v>
      </c>
      <c r="C52" s="10" t="str">
        <f>TEXT(SalesDataTable[[#This Row],[Order_Date]],"YYYY")</f>
        <v>2025</v>
      </c>
      <c r="D52" s="10" t="str">
        <f>TEXT(SalesDataTable[[#This Row],[Order_Date]],"MMM")</f>
        <v>Mar</v>
      </c>
      <c r="E52" t="str">
        <f t="shared" si="0"/>
        <v>Mar 2025</v>
      </c>
      <c r="F52" s="8" t="s">
        <v>44</v>
      </c>
      <c r="G52" s="8" t="s">
        <v>63</v>
      </c>
      <c r="H52" s="8" t="s">
        <v>98</v>
      </c>
      <c r="I52" s="8" t="s">
        <v>38</v>
      </c>
      <c r="J52" s="8" t="s">
        <v>59</v>
      </c>
      <c r="K52" s="8" t="s">
        <v>40</v>
      </c>
      <c r="L52" s="8" t="s">
        <v>76</v>
      </c>
      <c r="M52" s="8" t="s">
        <v>51</v>
      </c>
      <c r="N52" s="3">
        <v>7</v>
      </c>
      <c r="O52" s="15">
        <v>155.03</v>
      </c>
      <c r="P52" s="17">
        <v>0.05</v>
      </c>
      <c r="Q52" s="15">
        <v>90.01</v>
      </c>
      <c r="R52" s="15">
        <f t="shared" si="1"/>
        <v>1030.9494999999999</v>
      </c>
      <c r="S52" s="15">
        <f t="shared" si="2"/>
        <v>630.07000000000005</v>
      </c>
      <c r="T52" s="15">
        <f t="shared" si="3"/>
        <v>400.87949999999989</v>
      </c>
      <c r="U52" s="17">
        <f t="shared" si="4"/>
        <v>0.38884494342351389</v>
      </c>
      <c r="V52" s="3">
        <v>2</v>
      </c>
      <c r="W52" s="12">
        <v>5</v>
      </c>
    </row>
    <row r="53" spans="1:23">
      <c r="A53" s="8" t="s">
        <v>135</v>
      </c>
      <c r="B53" s="10">
        <v>45879</v>
      </c>
      <c r="C53" s="10" t="str">
        <f>TEXT(SalesDataTable[[#This Row],[Order_Date]],"YYYY")</f>
        <v>2025</v>
      </c>
      <c r="D53" s="10" t="str">
        <f>TEXT(SalesDataTable[[#This Row],[Order_Date]],"MMM")</f>
        <v>Aug</v>
      </c>
      <c r="E53" t="str">
        <f t="shared" si="0"/>
        <v>Aug 2025</v>
      </c>
      <c r="F53" s="8" t="s">
        <v>35</v>
      </c>
      <c r="G53" s="8" t="s">
        <v>63</v>
      </c>
      <c r="H53" s="8" t="s">
        <v>98</v>
      </c>
      <c r="I53" s="8" t="s">
        <v>65</v>
      </c>
      <c r="J53" s="8" t="s">
        <v>75</v>
      </c>
      <c r="K53" s="8" t="s">
        <v>40</v>
      </c>
      <c r="L53" s="8" t="s">
        <v>41</v>
      </c>
      <c r="M53" s="8" t="s">
        <v>51</v>
      </c>
      <c r="N53" s="3">
        <v>10</v>
      </c>
      <c r="O53" s="15">
        <v>12.32</v>
      </c>
      <c r="P53" s="17">
        <v>0</v>
      </c>
      <c r="Q53" s="15">
        <v>6.77</v>
      </c>
      <c r="R53" s="15">
        <f t="shared" si="1"/>
        <v>123.2</v>
      </c>
      <c r="S53" s="15">
        <f t="shared" si="2"/>
        <v>67.699999999999989</v>
      </c>
      <c r="T53" s="15">
        <f t="shared" si="3"/>
        <v>55.500000000000014</v>
      </c>
      <c r="U53" s="17">
        <f t="shared" si="4"/>
        <v>0.4504870129870131</v>
      </c>
      <c r="V53" s="3">
        <v>9</v>
      </c>
      <c r="W53" s="12">
        <v>5</v>
      </c>
    </row>
    <row r="54" spans="1:23">
      <c r="A54" s="8" t="s">
        <v>136</v>
      </c>
      <c r="B54" s="10">
        <v>45800</v>
      </c>
      <c r="C54" s="10" t="str">
        <f>TEXT(SalesDataTable[[#This Row],[Order_Date]],"YYYY")</f>
        <v>2025</v>
      </c>
      <c r="D54" s="10" t="str">
        <f>TEXT(SalesDataTable[[#This Row],[Order_Date]],"MMM")</f>
        <v>May</v>
      </c>
      <c r="E54" t="str">
        <f t="shared" si="0"/>
        <v>May 2025</v>
      </c>
      <c r="F54" s="8" t="s">
        <v>44</v>
      </c>
      <c r="G54" s="8" t="s">
        <v>82</v>
      </c>
      <c r="H54" s="8" t="s">
        <v>83</v>
      </c>
      <c r="I54" s="8" t="s">
        <v>47</v>
      </c>
      <c r="J54" s="8" t="s">
        <v>137</v>
      </c>
      <c r="K54" s="8" t="s">
        <v>49</v>
      </c>
      <c r="L54" s="8" t="s">
        <v>67</v>
      </c>
      <c r="M54" s="8" t="s">
        <v>85</v>
      </c>
      <c r="N54" s="3">
        <v>6</v>
      </c>
      <c r="O54" s="15">
        <v>57.61</v>
      </c>
      <c r="P54" s="17">
        <v>0</v>
      </c>
      <c r="Q54" s="15">
        <v>33.83</v>
      </c>
      <c r="R54" s="15">
        <f t="shared" si="1"/>
        <v>345.65999999999997</v>
      </c>
      <c r="S54" s="15">
        <f t="shared" si="2"/>
        <v>202.98</v>
      </c>
      <c r="T54" s="15">
        <f t="shared" si="3"/>
        <v>142.67999999999998</v>
      </c>
      <c r="U54" s="17">
        <f t="shared" si="4"/>
        <v>0.41277555979864605</v>
      </c>
      <c r="V54" s="3">
        <v>8</v>
      </c>
      <c r="W54" s="12">
        <v>4</v>
      </c>
    </row>
    <row r="55" spans="1:23">
      <c r="A55" s="8" t="s">
        <v>138</v>
      </c>
      <c r="B55" s="10">
        <v>45863</v>
      </c>
      <c r="C55" s="10" t="str">
        <f>TEXT(SalesDataTable[[#This Row],[Order_Date]],"YYYY")</f>
        <v>2025</v>
      </c>
      <c r="D55" s="10" t="str">
        <f>TEXT(SalesDataTable[[#This Row],[Order_Date]],"MMM")</f>
        <v>Jul</v>
      </c>
      <c r="E55" t="str">
        <f t="shared" si="0"/>
        <v>Jul 2025</v>
      </c>
      <c r="F55" s="8" t="s">
        <v>58</v>
      </c>
      <c r="G55" s="8" t="s">
        <v>36</v>
      </c>
      <c r="H55" s="8" t="s">
        <v>53</v>
      </c>
      <c r="I55" s="8" t="s">
        <v>65</v>
      </c>
      <c r="J55" s="8" t="s">
        <v>66</v>
      </c>
      <c r="K55" s="8" t="s">
        <v>40</v>
      </c>
      <c r="L55" s="8" t="s">
        <v>67</v>
      </c>
      <c r="M55" s="8" t="s">
        <v>42</v>
      </c>
      <c r="N55" s="3">
        <v>2</v>
      </c>
      <c r="O55" s="15">
        <v>26.12</v>
      </c>
      <c r="P55" s="17">
        <v>0.05</v>
      </c>
      <c r="Q55" s="15">
        <v>14.1</v>
      </c>
      <c r="R55" s="15">
        <f t="shared" si="1"/>
        <v>49.628</v>
      </c>
      <c r="S55" s="15">
        <f t="shared" si="2"/>
        <v>28.2</v>
      </c>
      <c r="T55" s="15">
        <f t="shared" si="3"/>
        <v>21.428000000000001</v>
      </c>
      <c r="U55" s="17">
        <f t="shared" si="4"/>
        <v>0.4317723865559765</v>
      </c>
      <c r="V55" s="3">
        <v>4</v>
      </c>
      <c r="W55" s="12">
        <v>4</v>
      </c>
    </row>
    <row r="56" spans="1:23">
      <c r="A56" s="8" t="s">
        <v>139</v>
      </c>
      <c r="B56" s="10">
        <v>45976</v>
      </c>
      <c r="C56" s="10" t="str">
        <f>TEXT(SalesDataTable[[#This Row],[Order_Date]],"YYYY")</f>
        <v>2025</v>
      </c>
      <c r="D56" s="10" t="str">
        <f>TEXT(SalesDataTable[[#This Row],[Order_Date]],"MMM")</f>
        <v>Nov</v>
      </c>
      <c r="E56" t="str">
        <f t="shared" si="0"/>
        <v>Nov 2025</v>
      </c>
      <c r="F56" s="8" t="s">
        <v>44</v>
      </c>
      <c r="G56" s="8" t="s">
        <v>45</v>
      </c>
      <c r="H56" s="8" t="s">
        <v>74</v>
      </c>
      <c r="I56" s="8" t="s">
        <v>47</v>
      </c>
      <c r="J56" s="8" t="s">
        <v>105</v>
      </c>
      <c r="K56" s="8" t="s">
        <v>40</v>
      </c>
      <c r="L56" s="8" t="s">
        <v>76</v>
      </c>
      <c r="M56" s="8" t="s">
        <v>56</v>
      </c>
      <c r="N56" s="3">
        <v>12</v>
      </c>
      <c r="O56" s="15">
        <v>35.229999999999997</v>
      </c>
      <c r="P56" s="17">
        <v>0.05</v>
      </c>
      <c r="Q56" s="15">
        <v>18.489999999999998</v>
      </c>
      <c r="R56" s="15">
        <f t="shared" si="1"/>
        <v>401.62199999999996</v>
      </c>
      <c r="S56" s="15">
        <f t="shared" si="2"/>
        <v>221.88</v>
      </c>
      <c r="T56" s="15">
        <f t="shared" si="3"/>
        <v>179.74199999999996</v>
      </c>
      <c r="U56" s="17">
        <f t="shared" si="4"/>
        <v>0.44754022439009811</v>
      </c>
      <c r="V56" s="3">
        <v>4</v>
      </c>
      <c r="W56" s="12">
        <v>5</v>
      </c>
    </row>
    <row r="57" spans="1:23">
      <c r="A57" s="8" t="s">
        <v>140</v>
      </c>
      <c r="B57" s="10">
        <v>45817</v>
      </c>
      <c r="C57" s="10" t="str">
        <f>TEXT(SalesDataTable[[#This Row],[Order_Date]],"YYYY")</f>
        <v>2025</v>
      </c>
      <c r="D57" s="10" t="str">
        <f>TEXT(SalesDataTable[[#This Row],[Order_Date]],"MMM")</f>
        <v>Jun</v>
      </c>
      <c r="E57" t="str">
        <f t="shared" si="0"/>
        <v>Jun 2025</v>
      </c>
      <c r="F57" s="8" t="s">
        <v>58</v>
      </c>
      <c r="G57" s="8" t="s">
        <v>36</v>
      </c>
      <c r="H57" s="8" t="s">
        <v>61</v>
      </c>
      <c r="I57" s="8" t="s">
        <v>47</v>
      </c>
      <c r="J57" s="8" t="s">
        <v>78</v>
      </c>
      <c r="K57" s="8" t="s">
        <v>49</v>
      </c>
      <c r="L57" s="8" t="s">
        <v>67</v>
      </c>
      <c r="M57" s="8" t="s">
        <v>72</v>
      </c>
      <c r="N57" s="3">
        <v>11</v>
      </c>
      <c r="O57" s="15">
        <v>48.74</v>
      </c>
      <c r="P57" s="17">
        <v>0.1</v>
      </c>
      <c r="Q57" s="15">
        <v>26.99</v>
      </c>
      <c r="R57" s="15">
        <f t="shared" si="1"/>
        <v>482.52600000000001</v>
      </c>
      <c r="S57" s="15">
        <f t="shared" si="2"/>
        <v>296.89</v>
      </c>
      <c r="T57" s="15">
        <f t="shared" si="3"/>
        <v>185.63600000000002</v>
      </c>
      <c r="U57" s="17">
        <f t="shared" si="4"/>
        <v>0.38471709296493872</v>
      </c>
      <c r="V57" s="3">
        <v>9</v>
      </c>
      <c r="W57" s="12">
        <v>5</v>
      </c>
    </row>
    <row r="58" spans="1:23">
      <c r="A58" s="8" t="s">
        <v>141</v>
      </c>
      <c r="B58" s="10">
        <v>45870</v>
      </c>
      <c r="C58" s="10" t="str">
        <f>TEXT(SalesDataTable[[#This Row],[Order_Date]],"YYYY")</f>
        <v>2025</v>
      </c>
      <c r="D58" s="10" t="str">
        <f>TEXT(SalesDataTable[[#This Row],[Order_Date]],"MMM")</f>
        <v>Aug</v>
      </c>
      <c r="E58" t="str">
        <f t="shared" si="0"/>
        <v>Aug 2025</v>
      </c>
      <c r="F58" s="8" t="s">
        <v>58</v>
      </c>
      <c r="G58" s="8" t="s">
        <v>45</v>
      </c>
      <c r="H58" s="8" t="s">
        <v>120</v>
      </c>
      <c r="I58" s="8" t="s">
        <v>65</v>
      </c>
      <c r="J58" s="8" t="s">
        <v>92</v>
      </c>
      <c r="K58" s="8" t="s">
        <v>40</v>
      </c>
      <c r="L58" s="8" t="s">
        <v>50</v>
      </c>
      <c r="M58" s="8" t="s">
        <v>72</v>
      </c>
      <c r="N58" s="3">
        <v>10</v>
      </c>
      <c r="O58" s="15">
        <v>19.260000000000002</v>
      </c>
      <c r="P58" s="17">
        <v>0</v>
      </c>
      <c r="Q58" s="15">
        <v>10.57</v>
      </c>
      <c r="R58" s="15">
        <f t="shared" si="1"/>
        <v>192.60000000000002</v>
      </c>
      <c r="S58" s="15">
        <f t="shared" si="2"/>
        <v>105.7</v>
      </c>
      <c r="T58" s="15">
        <f t="shared" si="3"/>
        <v>86.90000000000002</v>
      </c>
      <c r="U58" s="17">
        <f t="shared" si="4"/>
        <v>0.45119418483904472</v>
      </c>
      <c r="V58" s="3">
        <v>9</v>
      </c>
      <c r="W58" s="12">
        <v>4</v>
      </c>
    </row>
    <row r="59" spans="1:23">
      <c r="A59" s="8" t="s">
        <v>142</v>
      </c>
      <c r="B59" s="10">
        <v>45659</v>
      </c>
      <c r="C59" s="10" t="str">
        <f>TEXT(SalesDataTable[[#This Row],[Order_Date]],"YYYY")</f>
        <v>2025</v>
      </c>
      <c r="D59" s="10" t="str">
        <f>TEXT(SalesDataTable[[#This Row],[Order_Date]],"MMM")</f>
        <v>Jan</v>
      </c>
      <c r="E59" t="str">
        <f t="shared" si="0"/>
        <v>Jan 2025</v>
      </c>
      <c r="F59" s="8" t="s">
        <v>44</v>
      </c>
      <c r="G59" s="8" t="s">
        <v>63</v>
      </c>
      <c r="H59" s="8" t="s">
        <v>98</v>
      </c>
      <c r="I59" s="8" t="s">
        <v>47</v>
      </c>
      <c r="J59" s="8" t="s">
        <v>137</v>
      </c>
      <c r="K59" s="8" t="s">
        <v>49</v>
      </c>
      <c r="L59" s="8" t="s">
        <v>67</v>
      </c>
      <c r="M59" s="8" t="s">
        <v>85</v>
      </c>
      <c r="N59" s="3">
        <v>6</v>
      </c>
      <c r="O59" s="15">
        <v>56.18</v>
      </c>
      <c r="P59" s="17">
        <v>0.05</v>
      </c>
      <c r="Q59" s="15">
        <v>32.22</v>
      </c>
      <c r="R59" s="15">
        <f t="shared" si="1"/>
        <v>320.22599999999994</v>
      </c>
      <c r="S59" s="15">
        <f t="shared" si="2"/>
        <v>193.32</v>
      </c>
      <c r="T59" s="15">
        <f t="shared" si="3"/>
        <v>126.90599999999995</v>
      </c>
      <c r="U59" s="17">
        <f t="shared" si="4"/>
        <v>0.39630136216297229</v>
      </c>
      <c r="V59" s="3">
        <v>6</v>
      </c>
      <c r="W59" s="12">
        <v>5</v>
      </c>
    </row>
    <row r="60" spans="1:23">
      <c r="A60" s="8" t="s">
        <v>143</v>
      </c>
      <c r="B60" s="10">
        <v>46015</v>
      </c>
      <c r="C60" s="10" t="str">
        <f>TEXT(SalesDataTable[[#This Row],[Order_Date]],"YYYY")</f>
        <v>2025</v>
      </c>
      <c r="D60" s="10" t="str">
        <f>TEXT(SalesDataTable[[#This Row],[Order_Date]],"MMM")</f>
        <v>Dec</v>
      </c>
      <c r="E60" t="str">
        <f t="shared" si="0"/>
        <v>Dec 2025</v>
      </c>
      <c r="F60" s="8" t="s">
        <v>35</v>
      </c>
      <c r="G60" s="8" t="s">
        <v>82</v>
      </c>
      <c r="H60" s="8" t="s">
        <v>83</v>
      </c>
      <c r="I60" s="8" t="s">
        <v>47</v>
      </c>
      <c r="J60" s="8" t="s">
        <v>137</v>
      </c>
      <c r="K60" s="8" t="s">
        <v>40</v>
      </c>
      <c r="L60" s="8" t="s">
        <v>67</v>
      </c>
      <c r="M60" s="8" t="s">
        <v>56</v>
      </c>
      <c r="N60" s="3">
        <v>11</v>
      </c>
      <c r="O60" s="15">
        <v>59.09</v>
      </c>
      <c r="P60" s="17">
        <v>0</v>
      </c>
      <c r="Q60" s="15">
        <v>32.78</v>
      </c>
      <c r="R60" s="15">
        <f t="shared" si="1"/>
        <v>649.99</v>
      </c>
      <c r="S60" s="15">
        <f t="shared" si="2"/>
        <v>360.58000000000004</v>
      </c>
      <c r="T60" s="15">
        <f t="shared" si="3"/>
        <v>289.40999999999997</v>
      </c>
      <c r="U60" s="17">
        <f t="shared" si="4"/>
        <v>0.44525300389236749</v>
      </c>
      <c r="V60" s="3">
        <v>1</v>
      </c>
      <c r="W60" s="12">
        <v>4</v>
      </c>
    </row>
    <row r="61" spans="1:23">
      <c r="A61" s="8" t="s">
        <v>144</v>
      </c>
      <c r="B61" s="10">
        <v>45960</v>
      </c>
      <c r="C61" s="10" t="str">
        <f>TEXT(SalesDataTable[[#This Row],[Order_Date]],"YYYY")</f>
        <v>2025</v>
      </c>
      <c r="D61" s="10" t="str">
        <f>TEXT(SalesDataTable[[#This Row],[Order_Date]],"MMM")</f>
        <v>Oct</v>
      </c>
      <c r="E61" t="str">
        <f t="shared" si="0"/>
        <v>Oct 2025</v>
      </c>
      <c r="F61" s="8" t="s">
        <v>58</v>
      </c>
      <c r="G61" s="8" t="s">
        <v>63</v>
      </c>
      <c r="H61" s="8" t="s">
        <v>64</v>
      </c>
      <c r="I61" s="8" t="s">
        <v>54</v>
      </c>
      <c r="J61" s="8" t="s">
        <v>130</v>
      </c>
      <c r="K61" s="8" t="s">
        <v>40</v>
      </c>
      <c r="L61" s="8" t="s">
        <v>41</v>
      </c>
      <c r="M61" s="8" t="s">
        <v>51</v>
      </c>
      <c r="N61" s="3">
        <v>6</v>
      </c>
      <c r="O61" s="15">
        <v>39.61</v>
      </c>
      <c r="P61" s="17">
        <v>0</v>
      </c>
      <c r="Q61" s="15">
        <v>24.59</v>
      </c>
      <c r="R61" s="15">
        <f t="shared" si="1"/>
        <v>237.66</v>
      </c>
      <c r="S61" s="15">
        <f t="shared" si="2"/>
        <v>147.54</v>
      </c>
      <c r="T61" s="15">
        <f t="shared" si="3"/>
        <v>90.12</v>
      </c>
      <c r="U61" s="17">
        <f t="shared" si="4"/>
        <v>0.37919717243120427</v>
      </c>
      <c r="V61" s="3">
        <v>8</v>
      </c>
      <c r="W61" s="12">
        <v>5</v>
      </c>
    </row>
    <row r="62" spans="1:23">
      <c r="A62" s="8" t="s">
        <v>145</v>
      </c>
      <c r="B62" s="10">
        <v>45793</v>
      </c>
      <c r="C62" s="10" t="str">
        <f>TEXT(SalesDataTable[[#This Row],[Order_Date]],"YYYY")</f>
        <v>2025</v>
      </c>
      <c r="D62" s="10" t="str">
        <f>TEXT(SalesDataTable[[#This Row],[Order_Date]],"MMM")</f>
        <v>May</v>
      </c>
      <c r="E62" t="str">
        <f t="shared" si="0"/>
        <v>May 2025</v>
      </c>
      <c r="F62" s="8" t="s">
        <v>58</v>
      </c>
      <c r="G62" s="8" t="s">
        <v>63</v>
      </c>
      <c r="H62" s="8" t="s">
        <v>98</v>
      </c>
      <c r="I62" s="8" t="s">
        <v>38</v>
      </c>
      <c r="J62" s="8" t="s">
        <v>80</v>
      </c>
      <c r="K62" s="8" t="s">
        <v>49</v>
      </c>
      <c r="L62" s="8" t="s">
        <v>67</v>
      </c>
      <c r="M62" s="8" t="s">
        <v>85</v>
      </c>
      <c r="N62" s="3">
        <v>8</v>
      </c>
      <c r="O62" s="15">
        <v>131.03</v>
      </c>
      <c r="P62" s="17">
        <v>0</v>
      </c>
      <c r="Q62" s="15">
        <v>69.430000000000007</v>
      </c>
      <c r="R62" s="15">
        <f t="shared" si="1"/>
        <v>1048.24</v>
      </c>
      <c r="S62" s="15">
        <f t="shared" si="2"/>
        <v>555.44000000000005</v>
      </c>
      <c r="T62" s="15">
        <f t="shared" si="3"/>
        <v>492.79999999999995</v>
      </c>
      <c r="U62" s="17">
        <f t="shared" si="4"/>
        <v>0.47012134625658242</v>
      </c>
      <c r="V62" s="3">
        <v>5</v>
      </c>
      <c r="W62" s="12">
        <v>5</v>
      </c>
    </row>
    <row r="63" spans="1:23">
      <c r="A63" s="8" t="s">
        <v>146</v>
      </c>
      <c r="B63" s="10">
        <v>45704</v>
      </c>
      <c r="C63" s="10" t="str">
        <f>TEXT(SalesDataTable[[#This Row],[Order_Date]],"YYYY")</f>
        <v>2025</v>
      </c>
      <c r="D63" s="10" t="str">
        <f>TEXT(SalesDataTable[[#This Row],[Order_Date]],"MMM")</f>
        <v>Feb</v>
      </c>
      <c r="E63" t="str">
        <f t="shared" si="0"/>
        <v>Feb 2025</v>
      </c>
      <c r="F63" s="8" t="s">
        <v>35</v>
      </c>
      <c r="G63" s="8" t="s">
        <v>45</v>
      </c>
      <c r="H63" s="8" t="s">
        <v>46</v>
      </c>
      <c r="I63" s="8" t="s">
        <v>38</v>
      </c>
      <c r="J63" s="8" t="s">
        <v>80</v>
      </c>
      <c r="K63" s="8" t="s">
        <v>40</v>
      </c>
      <c r="L63" s="8" t="s">
        <v>41</v>
      </c>
      <c r="M63" s="8" t="s">
        <v>72</v>
      </c>
      <c r="N63" s="3">
        <v>6</v>
      </c>
      <c r="O63" s="15">
        <v>129.02000000000001</v>
      </c>
      <c r="P63" s="17">
        <v>0.05</v>
      </c>
      <c r="Q63" s="15">
        <v>72.52</v>
      </c>
      <c r="R63" s="15">
        <f t="shared" si="1"/>
        <v>735.4140000000001</v>
      </c>
      <c r="S63" s="15">
        <f t="shared" si="2"/>
        <v>435.12</v>
      </c>
      <c r="T63" s="15">
        <f t="shared" si="3"/>
        <v>300.2940000000001</v>
      </c>
      <c r="U63" s="17">
        <f t="shared" si="4"/>
        <v>0.40833326534441833</v>
      </c>
      <c r="V63" s="3">
        <v>3</v>
      </c>
      <c r="W63" s="12">
        <v>4</v>
      </c>
    </row>
    <row r="64" spans="1:23">
      <c r="A64" s="8" t="s">
        <v>147</v>
      </c>
      <c r="B64" s="10">
        <v>45868</v>
      </c>
      <c r="C64" s="10" t="str">
        <f>TEXT(SalesDataTable[[#This Row],[Order_Date]],"YYYY")</f>
        <v>2025</v>
      </c>
      <c r="D64" s="10" t="str">
        <f>TEXT(SalesDataTable[[#This Row],[Order_Date]],"MMM")</f>
        <v>Jul</v>
      </c>
      <c r="E64" t="str">
        <f t="shared" si="0"/>
        <v>Jul 2025</v>
      </c>
      <c r="F64" s="8" t="s">
        <v>44</v>
      </c>
      <c r="G64" s="8" t="s">
        <v>82</v>
      </c>
      <c r="H64" s="8" t="s">
        <v>89</v>
      </c>
      <c r="I64" s="8" t="s">
        <v>65</v>
      </c>
      <c r="J64" s="8" t="s">
        <v>87</v>
      </c>
      <c r="K64" s="8" t="s">
        <v>71</v>
      </c>
      <c r="L64" s="8" t="s">
        <v>50</v>
      </c>
      <c r="M64" s="8" t="s">
        <v>68</v>
      </c>
      <c r="N64" s="3">
        <v>16</v>
      </c>
      <c r="O64" s="15">
        <v>10.4</v>
      </c>
      <c r="P64" s="17">
        <v>0.1</v>
      </c>
      <c r="Q64" s="15">
        <v>4.47</v>
      </c>
      <c r="R64" s="15">
        <f t="shared" si="1"/>
        <v>149.76000000000002</v>
      </c>
      <c r="S64" s="15">
        <f t="shared" si="2"/>
        <v>71.52</v>
      </c>
      <c r="T64" s="15">
        <f t="shared" si="3"/>
        <v>78.240000000000023</v>
      </c>
      <c r="U64" s="17">
        <f t="shared" si="4"/>
        <v>0.52243589743589758</v>
      </c>
      <c r="V64" s="3">
        <v>8</v>
      </c>
      <c r="W64" s="12">
        <v>5</v>
      </c>
    </row>
    <row r="65" spans="1:23">
      <c r="A65" s="8" t="s">
        <v>148</v>
      </c>
      <c r="B65" s="10">
        <v>46004</v>
      </c>
      <c r="C65" s="10" t="str">
        <f>TEXT(SalesDataTable[[#This Row],[Order_Date]],"YYYY")</f>
        <v>2025</v>
      </c>
      <c r="D65" s="10" t="str">
        <f>TEXT(SalesDataTable[[#This Row],[Order_Date]],"MMM")</f>
        <v>Dec</v>
      </c>
      <c r="E65" t="str">
        <f t="shared" si="0"/>
        <v>Dec 2025</v>
      </c>
      <c r="F65" s="8" t="s">
        <v>44</v>
      </c>
      <c r="G65" s="8" t="s">
        <v>82</v>
      </c>
      <c r="H65" s="8" t="s">
        <v>89</v>
      </c>
      <c r="I65" s="8" t="s">
        <v>47</v>
      </c>
      <c r="J65" s="8" t="s">
        <v>48</v>
      </c>
      <c r="K65" s="8" t="s">
        <v>49</v>
      </c>
      <c r="L65" s="8" t="s">
        <v>67</v>
      </c>
      <c r="M65" s="8" t="s">
        <v>51</v>
      </c>
      <c r="N65" s="3">
        <v>5</v>
      </c>
      <c r="O65" s="15">
        <v>22.01</v>
      </c>
      <c r="P65" s="17">
        <v>0.2</v>
      </c>
      <c r="Q65" s="15">
        <v>10.65</v>
      </c>
      <c r="R65" s="15">
        <f t="shared" si="1"/>
        <v>88.04000000000002</v>
      </c>
      <c r="S65" s="15">
        <f t="shared" si="2"/>
        <v>53.25</v>
      </c>
      <c r="T65" s="15">
        <f t="shared" si="3"/>
        <v>34.79000000000002</v>
      </c>
      <c r="U65" s="17">
        <f t="shared" si="4"/>
        <v>0.39516129032258079</v>
      </c>
      <c r="V65" s="3">
        <v>8</v>
      </c>
      <c r="W65" s="12">
        <v>3</v>
      </c>
    </row>
    <row r="66" spans="1:23">
      <c r="A66" s="8" t="s">
        <v>149</v>
      </c>
      <c r="B66" s="10">
        <v>45853</v>
      </c>
      <c r="C66" s="10" t="str">
        <f>TEXT(SalesDataTable[[#This Row],[Order_Date]],"YYYY")</f>
        <v>2025</v>
      </c>
      <c r="D66" s="10" t="str">
        <f>TEXT(SalesDataTable[[#This Row],[Order_Date]],"MMM")</f>
        <v>Jul</v>
      </c>
      <c r="E66" t="str">
        <f t="shared" ref="E66:E129" si="5">TEXT(B66,"mmm yyyy")</f>
        <v>Jul 2025</v>
      </c>
      <c r="F66" s="8" t="s">
        <v>35</v>
      </c>
      <c r="G66" s="8" t="s">
        <v>63</v>
      </c>
      <c r="H66" s="8" t="s">
        <v>98</v>
      </c>
      <c r="I66" s="8" t="s">
        <v>47</v>
      </c>
      <c r="J66" s="8" t="s">
        <v>48</v>
      </c>
      <c r="K66" s="8" t="s">
        <v>40</v>
      </c>
      <c r="L66" s="8" t="s">
        <v>67</v>
      </c>
      <c r="M66" s="8" t="s">
        <v>85</v>
      </c>
      <c r="N66" s="3">
        <v>1</v>
      </c>
      <c r="O66" s="15">
        <v>22.54</v>
      </c>
      <c r="P66" s="17">
        <v>0.1</v>
      </c>
      <c r="Q66" s="15">
        <v>11.33</v>
      </c>
      <c r="R66" s="15">
        <f t="shared" ref="R66:R129" si="6">N66*O66*(1-P66)</f>
        <v>20.286000000000001</v>
      </c>
      <c r="S66" s="15">
        <f t="shared" ref="S66:S129" si="7">N66*Q66</f>
        <v>11.33</v>
      </c>
      <c r="T66" s="15">
        <f t="shared" ref="T66:T129" si="8">R66-S66</f>
        <v>8.9560000000000013</v>
      </c>
      <c r="U66" s="17">
        <f t="shared" ref="U66:U129" si="9">IFERROR(T66/R66,0)</f>
        <v>0.44148673962338564</v>
      </c>
      <c r="V66" s="3">
        <v>1</v>
      </c>
      <c r="W66" s="12">
        <v>5</v>
      </c>
    </row>
    <row r="67" spans="1:23">
      <c r="A67" s="8" t="s">
        <v>150</v>
      </c>
      <c r="B67" s="10">
        <v>45912</v>
      </c>
      <c r="C67" s="10" t="str">
        <f>TEXT(SalesDataTable[[#This Row],[Order_Date]],"YYYY")</f>
        <v>2025</v>
      </c>
      <c r="D67" s="10" t="str">
        <f>TEXT(SalesDataTable[[#This Row],[Order_Date]],"MMM")</f>
        <v>Sep</v>
      </c>
      <c r="E67" t="str">
        <f t="shared" si="5"/>
        <v>Sep 2025</v>
      </c>
      <c r="F67" s="8" t="s">
        <v>44</v>
      </c>
      <c r="G67" s="8" t="s">
        <v>63</v>
      </c>
      <c r="H67" s="8" t="s">
        <v>64</v>
      </c>
      <c r="I67" s="8" t="s">
        <v>38</v>
      </c>
      <c r="J67" s="8" t="s">
        <v>59</v>
      </c>
      <c r="K67" s="8" t="s">
        <v>40</v>
      </c>
      <c r="L67" s="8" t="s">
        <v>76</v>
      </c>
      <c r="M67" s="8" t="s">
        <v>51</v>
      </c>
      <c r="N67" s="3">
        <v>3</v>
      </c>
      <c r="O67" s="15">
        <v>145.35</v>
      </c>
      <c r="P67" s="17">
        <v>0.05</v>
      </c>
      <c r="Q67" s="15">
        <v>95.81</v>
      </c>
      <c r="R67" s="15">
        <f t="shared" si="6"/>
        <v>414.24749999999995</v>
      </c>
      <c r="S67" s="15">
        <f t="shared" si="7"/>
        <v>287.43</v>
      </c>
      <c r="T67" s="15">
        <f t="shared" si="8"/>
        <v>126.81749999999994</v>
      </c>
      <c r="U67" s="17">
        <f t="shared" si="9"/>
        <v>0.30613944562127704</v>
      </c>
      <c r="V67" s="3">
        <v>5</v>
      </c>
      <c r="W67" s="12">
        <v>5</v>
      </c>
    </row>
    <row r="68" spans="1:23">
      <c r="A68" s="8" t="s">
        <v>151</v>
      </c>
      <c r="B68" s="10">
        <v>45675</v>
      </c>
      <c r="C68" s="10" t="str">
        <f>TEXT(SalesDataTable[[#This Row],[Order_Date]],"YYYY")</f>
        <v>2025</v>
      </c>
      <c r="D68" s="10" t="str">
        <f>TEXT(SalesDataTable[[#This Row],[Order_Date]],"MMM")</f>
        <v>Jan</v>
      </c>
      <c r="E68" t="str">
        <f t="shared" si="5"/>
        <v>Jan 2025</v>
      </c>
      <c r="F68" s="8" t="s">
        <v>44</v>
      </c>
      <c r="G68" s="8" t="s">
        <v>63</v>
      </c>
      <c r="H68" s="8" t="s">
        <v>98</v>
      </c>
      <c r="I68" s="8" t="s">
        <v>65</v>
      </c>
      <c r="J68" s="8" t="s">
        <v>66</v>
      </c>
      <c r="K68" s="8" t="s">
        <v>40</v>
      </c>
      <c r="L68" s="8" t="s">
        <v>50</v>
      </c>
      <c r="M68" s="8" t="s">
        <v>68</v>
      </c>
      <c r="N68" s="3">
        <v>19</v>
      </c>
      <c r="O68" s="15">
        <v>27.32</v>
      </c>
      <c r="P68" s="17">
        <v>0.05</v>
      </c>
      <c r="Q68" s="15">
        <v>13.7</v>
      </c>
      <c r="R68" s="15">
        <f t="shared" si="6"/>
        <v>493.12600000000003</v>
      </c>
      <c r="S68" s="15">
        <f t="shared" si="7"/>
        <v>260.3</v>
      </c>
      <c r="T68" s="15">
        <f t="shared" si="8"/>
        <v>232.82600000000002</v>
      </c>
      <c r="U68" s="17">
        <f t="shared" si="9"/>
        <v>0.4721430222701703</v>
      </c>
      <c r="V68" s="3">
        <v>5</v>
      </c>
      <c r="W68" s="12">
        <v>5</v>
      </c>
    </row>
    <row r="69" spans="1:23">
      <c r="A69" s="8" t="s">
        <v>152</v>
      </c>
      <c r="B69" s="10">
        <v>45789</v>
      </c>
      <c r="C69" s="10" t="str">
        <f>TEXT(SalesDataTable[[#This Row],[Order_Date]],"YYYY")</f>
        <v>2025</v>
      </c>
      <c r="D69" s="10" t="str">
        <f>TEXT(SalesDataTable[[#This Row],[Order_Date]],"MMM")</f>
        <v>May</v>
      </c>
      <c r="E69" t="str">
        <f t="shared" si="5"/>
        <v>May 2025</v>
      </c>
      <c r="F69" s="8" t="s">
        <v>44</v>
      </c>
      <c r="G69" s="8" t="s">
        <v>45</v>
      </c>
      <c r="H69" s="8" t="s">
        <v>120</v>
      </c>
      <c r="I69" s="8" t="s">
        <v>38</v>
      </c>
      <c r="J69" s="8" t="s">
        <v>59</v>
      </c>
      <c r="K69" s="8" t="s">
        <v>49</v>
      </c>
      <c r="L69" s="8" t="s">
        <v>41</v>
      </c>
      <c r="M69" s="8" t="s">
        <v>68</v>
      </c>
      <c r="N69" s="3">
        <v>4</v>
      </c>
      <c r="O69" s="15">
        <v>152.49</v>
      </c>
      <c r="P69" s="17">
        <v>0.2</v>
      </c>
      <c r="Q69" s="15">
        <v>93.23</v>
      </c>
      <c r="R69" s="15">
        <f t="shared" si="6"/>
        <v>487.96800000000007</v>
      </c>
      <c r="S69" s="15">
        <f t="shared" si="7"/>
        <v>372.92</v>
      </c>
      <c r="T69" s="15">
        <f t="shared" si="8"/>
        <v>115.04800000000006</v>
      </c>
      <c r="U69" s="17">
        <f t="shared" si="9"/>
        <v>0.23576955865958432</v>
      </c>
      <c r="V69" s="3">
        <v>9</v>
      </c>
      <c r="W69" s="12">
        <v>4</v>
      </c>
    </row>
    <row r="70" spans="1:23">
      <c r="A70" s="8" t="s">
        <v>153</v>
      </c>
      <c r="B70" s="10">
        <v>45860</v>
      </c>
      <c r="C70" s="10" t="str">
        <f>TEXT(SalesDataTable[[#This Row],[Order_Date]],"YYYY")</f>
        <v>2025</v>
      </c>
      <c r="D70" s="10" t="str">
        <f>TEXT(SalesDataTable[[#This Row],[Order_Date]],"MMM")</f>
        <v>Jul</v>
      </c>
      <c r="E70" t="str">
        <f t="shared" si="5"/>
        <v>Jul 2025</v>
      </c>
      <c r="F70" s="8" t="s">
        <v>35</v>
      </c>
      <c r="G70" s="8" t="s">
        <v>36</v>
      </c>
      <c r="H70" s="8" t="s">
        <v>53</v>
      </c>
      <c r="I70" s="8" t="s">
        <v>47</v>
      </c>
      <c r="J70" s="8" t="s">
        <v>137</v>
      </c>
      <c r="K70" s="8" t="s">
        <v>40</v>
      </c>
      <c r="L70" s="8" t="s">
        <v>76</v>
      </c>
      <c r="M70" s="8" t="s">
        <v>42</v>
      </c>
      <c r="N70" s="3">
        <v>7</v>
      </c>
      <c r="O70" s="15">
        <v>59.45</v>
      </c>
      <c r="P70" s="17">
        <v>0</v>
      </c>
      <c r="Q70" s="15">
        <v>34.25</v>
      </c>
      <c r="R70" s="15">
        <f t="shared" si="6"/>
        <v>416.15000000000003</v>
      </c>
      <c r="S70" s="15">
        <f t="shared" si="7"/>
        <v>239.75</v>
      </c>
      <c r="T70" s="15">
        <f t="shared" si="8"/>
        <v>176.40000000000003</v>
      </c>
      <c r="U70" s="17">
        <f t="shared" si="9"/>
        <v>0.42388561816652653</v>
      </c>
      <c r="V70" s="3">
        <v>4</v>
      </c>
      <c r="W70" s="12">
        <v>4</v>
      </c>
    </row>
    <row r="71" spans="1:23">
      <c r="A71" s="8" t="s">
        <v>154</v>
      </c>
      <c r="B71" s="10">
        <v>45975</v>
      </c>
      <c r="C71" s="10" t="str">
        <f>TEXT(SalesDataTable[[#This Row],[Order_Date]],"YYYY")</f>
        <v>2025</v>
      </c>
      <c r="D71" s="10" t="str">
        <f>TEXT(SalesDataTable[[#This Row],[Order_Date]],"MMM")</f>
        <v>Nov</v>
      </c>
      <c r="E71" t="str">
        <f t="shared" si="5"/>
        <v>Nov 2025</v>
      </c>
      <c r="F71" s="8" t="s">
        <v>44</v>
      </c>
      <c r="G71" s="8" t="s">
        <v>63</v>
      </c>
      <c r="H71" s="8" t="s">
        <v>98</v>
      </c>
      <c r="I71" s="8" t="s">
        <v>65</v>
      </c>
      <c r="J71" s="8" t="s">
        <v>75</v>
      </c>
      <c r="K71" s="8" t="s">
        <v>71</v>
      </c>
      <c r="L71" s="8" t="s">
        <v>76</v>
      </c>
      <c r="M71" s="8" t="s">
        <v>51</v>
      </c>
      <c r="N71" s="3">
        <v>15</v>
      </c>
      <c r="O71" s="15">
        <v>11.11</v>
      </c>
      <c r="P71" s="17">
        <v>0</v>
      </c>
      <c r="Q71" s="15">
        <v>6.03</v>
      </c>
      <c r="R71" s="15">
        <f t="shared" si="6"/>
        <v>166.64999999999998</v>
      </c>
      <c r="S71" s="15">
        <f t="shared" si="7"/>
        <v>90.45</v>
      </c>
      <c r="T71" s="15">
        <f t="shared" si="8"/>
        <v>76.199999999999974</v>
      </c>
      <c r="U71" s="17">
        <f t="shared" si="9"/>
        <v>0.45724572457245716</v>
      </c>
      <c r="V71" s="3">
        <v>8</v>
      </c>
      <c r="W71" s="12">
        <v>3</v>
      </c>
    </row>
    <row r="72" spans="1:23">
      <c r="A72" s="8" t="s">
        <v>155</v>
      </c>
      <c r="B72" s="10">
        <v>45778</v>
      </c>
      <c r="C72" s="10" t="str">
        <f>TEXT(SalesDataTable[[#This Row],[Order_Date]],"YYYY")</f>
        <v>2025</v>
      </c>
      <c r="D72" s="10" t="str">
        <f>TEXT(SalesDataTable[[#This Row],[Order_Date]],"MMM")</f>
        <v>May</v>
      </c>
      <c r="E72" t="str">
        <f t="shared" si="5"/>
        <v>May 2025</v>
      </c>
      <c r="F72" s="8" t="s">
        <v>35</v>
      </c>
      <c r="G72" s="8" t="s">
        <v>82</v>
      </c>
      <c r="H72" s="8" t="s">
        <v>103</v>
      </c>
      <c r="I72" s="8" t="s">
        <v>47</v>
      </c>
      <c r="J72" s="8" t="s">
        <v>137</v>
      </c>
      <c r="K72" s="8" t="s">
        <v>71</v>
      </c>
      <c r="L72" s="8" t="s">
        <v>67</v>
      </c>
      <c r="M72" s="8" t="s">
        <v>51</v>
      </c>
      <c r="N72" s="3">
        <v>2</v>
      </c>
      <c r="O72" s="15">
        <v>59.59</v>
      </c>
      <c r="P72" s="17">
        <v>0.15</v>
      </c>
      <c r="Q72" s="15">
        <v>32.590000000000003</v>
      </c>
      <c r="R72" s="15">
        <f t="shared" si="6"/>
        <v>101.303</v>
      </c>
      <c r="S72" s="15">
        <f t="shared" si="7"/>
        <v>65.180000000000007</v>
      </c>
      <c r="T72" s="15">
        <f t="shared" si="8"/>
        <v>36.12299999999999</v>
      </c>
      <c r="U72" s="17">
        <f t="shared" si="9"/>
        <v>0.35658371420392282</v>
      </c>
      <c r="V72" s="3">
        <v>5</v>
      </c>
      <c r="W72" s="12">
        <v>3</v>
      </c>
    </row>
    <row r="73" spans="1:23">
      <c r="A73" s="8" t="s">
        <v>156</v>
      </c>
      <c r="B73" s="10">
        <v>45847</v>
      </c>
      <c r="C73" s="10" t="str">
        <f>TEXT(SalesDataTable[[#This Row],[Order_Date]],"YYYY")</f>
        <v>2025</v>
      </c>
      <c r="D73" s="10" t="str">
        <f>TEXT(SalesDataTable[[#This Row],[Order_Date]],"MMM")</f>
        <v>Jul</v>
      </c>
      <c r="E73" t="str">
        <f t="shared" si="5"/>
        <v>Jul 2025</v>
      </c>
      <c r="F73" s="8" t="s">
        <v>44</v>
      </c>
      <c r="G73" s="8" t="s">
        <v>82</v>
      </c>
      <c r="H73" s="8" t="s">
        <v>103</v>
      </c>
      <c r="I73" s="8" t="s">
        <v>47</v>
      </c>
      <c r="J73" s="8" t="s">
        <v>78</v>
      </c>
      <c r="K73" s="8" t="s">
        <v>49</v>
      </c>
      <c r="L73" s="8" t="s">
        <v>76</v>
      </c>
      <c r="M73" s="8" t="s">
        <v>42</v>
      </c>
      <c r="N73" s="3">
        <v>11</v>
      </c>
      <c r="O73" s="15">
        <v>44.05</v>
      </c>
      <c r="P73" s="17">
        <v>0</v>
      </c>
      <c r="Q73" s="15">
        <v>26.56</v>
      </c>
      <c r="R73" s="15">
        <f t="shared" si="6"/>
        <v>484.54999999999995</v>
      </c>
      <c r="S73" s="15">
        <f t="shared" si="7"/>
        <v>292.15999999999997</v>
      </c>
      <c r="T73" s="15">
        <f t="shared" si="8"/>
        <v>192.39</v>
      </c>
      <c r="U73" s="17">
        <f t="shared" si="9"/>
        <v>0.39704880817253124</v>
      </c>
      <c r="V73" s="3">
        <v>2</v>
      </c>
      <c r="W73" s="12">
        <v>5</v>
      </c>
    </row>
    <row r="74" spans="1:23">
      <c r="A74" s="8" t="s">
        <v>157</v>
      </c>
      <c r="B74" s="10">
        <v>45890</v>
      </c>
      <c r="C74" s="10" t="str">
        <f>TEXT(SalesDataTable[[#This Row],[Order_Date]],"YYYY")</f>
        <v>2025</v>
      </c>
      <c r="D74" s="10" t="str">
        <f>TEXT(SalesDataTable[[#This Row],[Order_Date]],"MMM")</f>
        <v>Aug</v>
      </c>
      <c r="E74" t="str">
        <f t="shared" si="5"/>
        <v>Aug 2025</v>
      </c>
      <c r="F74" s="8" t="s">
        <v>44</v>
      </c>
      <c r="G74" s="8" t="s">
        <v>36</v>
      </c>
      <c r="H74" s="8" t="s">
        <v>61</v>
      </c>
      <c r="I74" s="8" t="s">
        <v>65</v>
      </c>
      <c r="J74" s="8" t="s">
        <v>75</v>
      </c>
      <c r="K74" s="8" t="s">
        <v>40</v>
      </c>
      <c r="L74" s="8" t="s">
        <v>50</v>
      </c>
      <c r="M74" s="8" t="s">
        <v>42</v>
      </c>
      <c r="N74" s="3">
        <v>8</v>
      </c>
      <c r="O74" s="15">
        <v>10.98</v>
      </c>
      <c r="P74" s="17">
        <v>0</v>
      </c>
      <c r="Q74" s="15">
        <v>6.78</v>
      </c>
      <c r="R74" s="15">
        <f t="shared" si="6"/>
        <v>87.84</v>
      </c>
      <c r="S74" s="15">
        <f t="shared" si="7"/>
        <v>54.24</v>
      </c>
      <c r="T74" s="15">
        <f t="shared" si="8"/>
        <v>33.6</v>
      </c>
      <c r="U74" s="17">
        <f t="shared" si="9"/>
        <v>0.38251366120218577</v>
      </c>
      <c r="V74" s="3">
        <v>4</v>
      </c>
      <c r="W74" s="12">
        <v>5</v>
      </c>
    </row>
    <row r="75" spans="1:23">
      <c r="A75" s="8" t="s">
        <v>158</v>
      </c>
      <c r="B75" s="10">
        <v>45777</v>
      </c>
      <c r="C75" s="10" t="str">
        <f>TEXT(SalesDataTable[[#This Row],[Order_Date]],"YYYY")</f>
        <v>2025</v>
      </c>
      <c r="D75" s="10" t="str">
        <f>TEXT(SalesDataTable[[#This Row],[Order_Date]],"MMM")</f>
        <v>Apr</v>
      </c>
      <c r="E75" t="str">
        <f t="shared" si="5"/>
        <v>Apr 2025</v>
      </c>
      <c r="F75" s="8" t="s">
        <v>58</v>
      </c>
      <c r="G75" s="8" t="s">
        <v>63</v>
      </c>
      <c r="H75" s="8" t="s">
        <v>64</v>
      </c>
      <c r="I75" s="8" t="s">
        <v>54</v>
      </c>
      <c r="J75" s="8" t="s">
        <v>96</v>
      </c>
      <c r="K75" s="8" t="s">
        <v>40</v>
      </c>
      <c r="L75" s="8" t="s">
        <v>50</v>
      </c>
      <c r="M75" s="8" t="s">
        <v>42</v>
      </c>
      <c r="N75" s="3">
        <v>10</v>
      </c>
      <c r="O75" s="15">
        <v>51.63</v>
      </c>
      <c r="P75" s="17">
        <v>0.15</v>
      </c>
      <c r="Q75" s="15">
        <v>26.25</v>
      </c>
      <c r="R75" s="15">
        <f t="shared" si="6"/>
        <v>438.85500000000002</v>
      </c>
      <c r="S75" s="15">
        <f t="shared" si="7"/>
        <v>262.5</v>
      </c>
      <c r="T75" s="15">
        <f t="shared" si="8"/>
        <v>176.35500000000002</v>
      </c>
      <c r="U75" s="17">
        <f t="shared" si="9"/>
        <v>0.40185254810814508</v>
      </c>
      <c r="V75" s="3">
        <v>3</v>
      </c>
      <c r="W75" s="12">
        <v>3</v>
      </c>
    </row>
    <row r="76" spans="1:23">
      <c r="A76" s="8" t="s">
        <v>159</v>
      </c>
      <c r="B76" s="10">
        <v>45779</v>
      </c>
      <c r="C76" s="10" t="str">
        <f>TEXT(SalesDataTable[[#This Row],[Order_Date]],"YYYY")</f>
        <v>2025</v>
      </c>
      <c r="D76" s="10" t="str">
        <f>TEXT(SalesDataTable[[#This Row],[Order_Date]],"MMM")</f>
        <v>May</v>
      </c>
      <c r="E76" t="str">
        <f t="shared" si="5"/>
        <v>May 2025</v>
      </c>
      <c r="F76" s="8" t="s">
        <v>44</v>
      </c>
      <c r="G76" s="8" t="s">
        <v>63</v>
      </c>
      <c r="H76" s="8" t="s">
        <v>64</v>
      </c>
      <c r="I76" s="8" t="s">
        <v>65</v>
      </c>
      <c r="J76" s="8" t="s">
        <v>75</v>
      </c>
      <c r="K76" s="8" t="s">
        <v>40</v>
      </c>
      <c r="L76" s="8" t="s">
        <v>41</v>
      </c>
      <c r="M76" s="8" t="s">
        <v>51</v>
      </c>
      <c r="N76" s="3">
        <v>4</v>
      </c>
      <c r="O76" s="15">
        <v>12.06</v>
      </c>
      <c r="P76" s="17">
        <v>0.05</v>
      </c>
      <c r="Q76" s="15">
        <v>6.79</v>
      </c>
      <c r="R76" s="15">
        <f t="shared" si="6"/>
        <v>45.828000000000003</v>
      </c>
      <c r="S76" s="15">
        <f t="shared" si="7"/>
        <v>27.16</v>
      </c>
      <c r="T76" s="15">
        <f t="shared" si="8"/>
        <v>18.668000000000003</v>
      </c>
      <c r="U76" s="17">
        <f t="shared" si="9"/>
        <v>0.40734921881818981</v>
      </c>
      <c r="V76" s="3">
        <v>2</v>
      </c>
      <c r="W76" s="12">
        <v>4</v>
      </c>
    </row>
    <row r="77" spans="1:23">
      <c r="A77" s="8" t="s">
        <v>160</v>
      </c>
      <c r="B77" s="10">
        <v>45771</v>
      </c>
      <c r="C77" s="10" t="str">
        <f>TEXT(SalesDataTable[[#This Row],[Order_Date]],"YYYY")</f>
        <v>2025</v>
      </c>
      <c r="D77" s="10" t="str">
        <f>TEXT(SalesDataTable[[#This Row],[Order_Date]],"MMM")</f>
        <v>Apr</v>
      </c>
      <c r="E77" t="str">
        <f t="shared" si="5"/>
        <v>Apr 2025</v>
      </c>
      <c r="F77" s="8" t="s">
        <v>58</v>
      </c>
      <c r="G77" s="8" t="s">
        <v>36</v>
      </c>
      <c r="H77" s="8" t="s">
        <v>61</v>
      </c>
      <c r="I77" s="8" t="s">
        <v>54</v>
      </c>
      <c r="J77" s="8" t="s">
        <v>55</v>
      </c>
      <c r="K77" s="8" t="s">
        <v>71</v>
      </c>
      <c r="L77" s="8" t="s">
        <v>41</v>
      </c>
      <c r="M77" s="8" t="s">
        <v>56</v>
      </c>
      <c r="N77" s="3">
        <v>14</v>
      </c>
      <c r="O77" s="15">
        <v>74.53</v>
      </c>
      <c r="P77" s="17">
        <v>0.1</v>
      </c>
      <c r="Q77" s="15">
        <v>42.18</v>
      </c>
      <c r="R77" s="15">
        <f t="shared" si="6"/>
        <v>939.07800000000009</v>
      </c>
      <c r="S77" s="15">
        <f t="shared" si="7"/>
        <v>590.52</v>
      </c>
      <c r="T77" s="15">
        <f t="shared" si="8"/>
        <v>348.55800000000011</v>
      </c>
      <c r="U77" s="17">
        <f t="shared" si="9"/>
        <v>0.37117044590545201</v>
      </c>
      <c r="V77" s="3">
        <v>8</v>
      </c>
      <c r="W77" s="12">
        <v>3</v>
      </c>
    </row>
    <row r="78" spans="1:23">
      <c r="A78" s="8" t="s">
        <v>161</v>
      </c>
      <c r="B78" s="10">
        <v>45699</v>
      </c>
      <c r="C78" s="10" t="str">
        <f>TEXT(SalesDataTable[[#This Row],[Order_Date]],"YYYY")</f>
        <v>2025</v>
      </c>
      <c r="D78" s="10" t="str">
        <f>TEXT(SalesDataTable[[#This Row],[Order_Date]],"MMM")</f>
        <v>Feb</v>
      </c>
      <c r="E78" t="str">
        <f t="shared" si="5"/>
        <v>Feb 2025</v>
      </c>
      <c r="F78" s="8" t="s">
        <v>35</v>
      </c>
      <c r="G78" s="8" t="s">
        <v>63</v>
      </c>
      <c r="H78" s="8" t="s">
        <v>98</v>
      </c>
      <c r="I78" s="8" t="s">
        <v>65</v>
      </c>
      <c r="J78" s="8" t="s">
        <v>92</v>
      </c>
      <c r="K78" s="8" t="s">
        <v>40</v>
      </c>
      <c r="L78" s="8" t="s">
        <v>76</v>
      </c>
      <c r="M78" s="8" t="s">
        <v>56</v>
      </c>
      <c r="N78" s="3">
        <v>21</v>
      </c>
      <c r="O78" s="15">
        <v>18.3</v>
      </c>
      <c r="P78" s="17">
        <v>0.05</v>
      </c>
      <c r="Q78" s="15">
        <v>9.93</v>
      </c>
      <c r="R78" s="15">
        <f t="shared" si="6"/>
        <v>365.08499999999998</v>
      </c>
      <c r="S78" s="15">
        <f t="shared" si="7"/>
        <v>208.53</v>
      </c>
      <c r="T78" s="15">
        <f t="shared" si="8"/>
        <v>156.55499999999998</v>
      </c>
      <c r="U78" s="17">
        <f t="shared" si="9"/>
        <v>0.42881794650560823</v>
      </c>
      <c r="V78" s="3">
        <v>2</v>
      </c>
      <c r="W78" s="12">
        <v>5</v>
      </c>
    </row>
    <row r="79" spans="1:23">
      <c r="A79" s="8" t="s">
        <v>162</v>
      </c>
      <c r="B79" s="10">
        <v>45716</v>
      </c>
      <c r="C79" s="10" t="str">
        <f>TEXT(SalesDataTable[[#This Row],[Order_Date]],"YYYY")</f>
        <v>2025</v>
      </c>
      <c r="D79" s="10" t="str">
        <f>TEXT(SalesDataTable[[#This Row],[Order_Date]],"MMM")</f>
        <v>Feb</v>
      </c>
      <c r="E79" t="str">
        <f t="shared" si="5"/>
        <v>Feb 2025</v>
      </c>
      <c r="F79" s="8" t="s">
        <v>35</v>
      </c>
      <c r="G79" s="8" t="s">
        <v>82</v>
      </c>
      <c r="H79" s="8" t="s">
        <v>103</v>
      </c>
      <c r="I79" s="8" t="s">
        <v>47</v>
      </c>
      <c r="J79" s="8" t="s">
        <v>78</v>
      </c>
      <c r="K79" s="8" t="s">
        <v>40</v>
      </c>
      <c r="L79" s="8" t="s">
        <v>67</v>
      </c>
      <c r="M79" s="8" t="s">
        <v>56</v>
      </c>
      <c r="N79" s="3">
        <v>12</v>
      </c>
      <c r="O79" s="15">
        <v>41.44</v>
      </c>
      <c r="P79" s="17">
        <v>0.1</v>
      </c>
      <c r="Q79" s="15">
        <v>26.68</v>
      </c>
      <c r="R79" s="15">
        <f t="shared" si="6"/>
        <v>447.55199999999996</v>
      </c>
      <c r="S79" s="15">
        <f t="shared" si="7"/>
        <v>320.15999999999997</v>
      </c>
      <c r="T79" s="15">
        <f t="shared" si="8"/>
        <v>127.392</v>
      </c>
      <c r="U79" s="17">
        <f t="shared" si="9"/>
        <v>0.28464178464178463</v>
      </c>
      <c r="V79" s="3">
        <v>6</v>
      </c>
      <c r="W79" s="12">
        <v>5</v>
      </c>
    </row>
    <row r="80" spans="1:23">
      <c r="A80" s="8" t="s">
        <v>163</v>
      </c>
      <c r="B80" s="10">
        <v>46009</v>
      </c>
      <c r="C80" s="10" t="str">
        <f>TEXT(SalesDataTable[[#This Row],[Order_Date]],"YYYY")</f>
        <v>2025</v>
      </c>
      <c r="D80" s="10" t="str">
        <f>TEXT(SalesDataTable[[#This Row],[Order_Date]],"MMM")</f>
        <v>Dec</v>
      </c>
      <c r="E80" t="str">
        <f t="shared" si="5"/>
        <v>Dec 2025</v>
      </c>
      <c r="F80" s="8" t="s">
        <v>44</v>
      </c>
      <c r="G80" s="8" t="s">
        <v>45</v>
      </c>
      <c r="H80" s="8" t="s">
        <v>46</v>
      </c>
      <c r="I80" s="8" t="s">
        <v>65</v>
      </c>
      <c r="J80" s="8" t="s">
        <v>75</v>
      </c>
      <c r="K80" s="8" t="s">
        <v>40</v>
      </c>
      <c r="L80" s="8" t="s">
        <v>76</v>
      </c>
      <c r="M80" s="8" t="s">
        <v>68</v>
      </c>
      <c r="N80" s="3">
        <v>19</v>
      </c>
      <c r="O80" s="15">
        <v>10.96</v>
      </c>
      <c r="P80" s="17">
        <v>0.05</v>
      </c>
      <c r="Q80" s="15">
        <v>6.97</v>
      </c>
      <c r="R80" s="15">
        <f t="shared" si="6"/>
        <v>197.828</v>
      </c>
      <c r="S80" s="15">
        <f t="shared" si="7"/>
        <v>132.43</v>
      </c>
      <c r="T80" s="15">
        <f t="shared" si="8"/>
        <v>65.397999999999996</v>
      </c>
      <c r="U80" s="17">
        <f t="shared" si="9"/>
        <v>0.33058009988474835</v>
      </c>
      <c r="V80" s="3">
        <v>2</v>
      </c>
      <c r="W80" s="12">
        <v>4</v>
      </c>
    </row>
    <row r="81" spans="1:23">
      <c r="A81" s="8" t="s">
        <v>164</v>
      </c>
      <c r="B81" s="10">
        <v>45998</v>
      </c>
      <c r="C81" s="10" t="str">
        <f>TEXT(SalesDataTable[[#This Row],[Order_Date]],"YYYY")</f>
        <v>2025</v>
      </c>
      <c r="D81" s="10" t="str">
        <f>TEXT(SalesDataTable[[#This Row],[Order_Date]],"MMM")</f>
        <v>Dec</v>
      </c>
      <c r="E81" t="str">
        <f t="shared" si="5"/>
        <v>Dec 2025</v>
      </c>
      <c r="F81" s="8" t="s">
        <v>44</v>
      </c>
      <c r="G81" s="8" t="s">
        <v>45</v>
      </c>
      <c r="H81" s="8" t="s">
        <v>74</v>
      </c>
      <c r="I81" s="8" t="s">
        <v>65</v>
      </c>
      <c r="J81" s="8" t="s">
        <v>66</v>
      </c>
      <c r="K81" s="8" t="s">
        <v>71</v>
      </c>
      <c r="L81" s="8" t="s">
        <v>50</v>
      </c>
      <c r="M81" s="8" t="s">
        <v>68</v>
      </c>
      <c r="N81" s="3">
        <v>23</v>
      </c>
      <c r="O81" s="15">
        <v>25.15</v>
      </c>
      <c r="P81" s="17">
        <v>0.05</v>
      </c>
      <c r="Q81" s="15">
        <v>14.78</v>
      </c>
      <c r="R81" s="15">
        <f t="shared" si="6"/>
        <v>549.52749999999992</v>
      </c>
      <c r="S81" s="15">
        <f t="shared" si="7"/>
        <v>339.94</v>
      </c>
      <c r="T81" s="15">
        <f t="shared" si="8"/>
        <v>209.58749999999992</v>
      </c>
      <c r="U81" s="17">
        <f t="shared" si="9"/>
        <v>0.3813958355132363</v>
      </c>
      <c r="V81" s="3">
        <v>9</v>
      </c>
      <c r="W81" s="12">
        <v>4</v>
      </c>
    </row>
    <row r="82" spans="1:23">
      <c r="A82" s="8" t="s">
        <v>165</v>
      </c>
      <c r="B82" s="10">
        <v>45800</v>
      </c>
      <c r="C82" s="10" t="str">
        <f>TEXT(SalesDataTable[[#This Row],[Order_Date]],"YYYY")</f>
        <v>2025</v>
      </c>
      <c r="D82" s="10" t="str">
        <f>TEXT(SalesDataTable[[#This Row],[Order_Date]],"MMM")</f>
        <v>May</v>
      </c>
      <c r="E82" t="str">
        <f t="shared" si="5"/>
        <v>May 2025</v>
      </c>
      <c r="F82" s="8" t="s">
        <v>35</v>
      </c>
      <c r="G82" s="8" t="s">
        <v>82</v>
      </c>
      <c r="H82" s="8" t="s">
        <v>103</v>
      </c>
      <c r="I82" s="8" t="s">
        <v>54</v>
      </c>
      <c r="J82" s="8" t="s">
        <v>96</v>
      </c>
      <c r="K82" s="8" t="s">
        <v>71</v>
      </c>
      <c r="L82" s="8" t="s">
        <v>76</v>
      </c>
      <c r="M82" s="8" t="s">
        <v>72</v>
      </c>
      <c r="N82" s="3">
        <v>7</v>
      </c>
      <c r="O82" s="15">
        <v>46.09</v>
      </c>
      <c r="P82" s="17">
        <v>0.15</v>
      </c>
      <c r="Q82" s="15">
        <v>29.18</v>
      </c>
      <c r="R82" s="15">
        <f t="shared" si="6"/>
        <v>274.2355</v>
      </c>
      <c r="S82" s="15">
        <f t="shared" si="7"/>
        <v>204.26</v>
      </c>
      <c r="T82" s="15">
        <f t="shared" si="8"/>
        <v>69.975500000000011</v>
      </c>
      <c r="U82" s="17">
        <f t="shared" si="9"/>
        <v>0.25516572435005686</v>
      </c>
      <c r="V82" s="3">
        <v>6</v>
      </c>
      <c r="W82" s="12">
        <v>3</v>
      </c>
    </row>
    <row r="83" spans="1:23">
      <c r="A83" s="8" t="s">
        <v>166</v>
      </c>
      <c r="B83" s="10">
        <v>45731</v>
      </c>
      <c r="C83" s="10" t="str">
        <f>TEXT(SalesDataTable[[#This Row],[Order_Date]],"YYYY")</f>
        <v>2025</v>
      </c>
      <c r="D83" s="10" t="str">
        <f>TEXT(SalesDataTable[[#This Row],[Order_Date]],"MMM")</f>
        <v>Mar</v>
      </c>
      <c r="E83" t="str">
        <f t="shared" si="5"/>
        <v>Mar 2025</v>
      </c>
      <c r="F83" s="8" t="s">
        <v>44</v>
      </c>
      <c r="G83" s="8" t="s">
        <v>45</v>
      </c>
      <c r="H83" s="8" t="s">
        <v>46</v>
      </c>
      <c r="I83" s="8" t="s">
        <v>65</v>
      </c>
      <c r="J83" s="8" t="s">
        <v>75</v>
      </c>
      <c r="K83" s="8" t="s">
        <v>40</v>
      </c>
      <c r="L83" s="8" t="s">
        <v>67</v>
      </c>
      <c r="M83" s="8" t="s">
        <v>56</v>
      </c>
      <c r="N83" s="3">
        <v>16</v>
      </c>
      <c r="O83" s="15">
        <v>11.7</v>
      </c>
      <c r="P83" s="17">
        <v>0.1</v>
      </c>
      <c r="Q83" s="15">
        <v>6.36</v>
      </c>
      <c r="R83" s="15">
        <f t="shared" si="6"/>
        <v>168.48</v>
      </c>
      <c r="S83" s="15">
        <f t="shared" si="7"/>
        <v>101.76</v>
      </c>
      <c r="T83" s="15">
        <f t="shared" si="8"/>
        <v>66.719999999999985</v>
      </c>
      <c r="U83" s="17">
        <f t="shared" si="9"/>
        <v>0.39601139601139596</v>
      </c>
      <c r="V83" s="3">
        <v>2</v>
      </c>
      <c r="W83" s="12">
        <v>5</v>
      </c>
    </row>
    <row r="84" spans="1:23">
      <c r="A84" s="8" t="s">
        <v>167</v>
      </c>
      <c r="B84" s="10">
        <v>45737</v>
      </c>
      <c r="C84" s="10" t="str">
        <f>TEXT(SalesDataTable[[#This Row],[Order_Date]],"YYYY")</f>
        <v>2025</v>
      </c>
      <c r="D84" s="10" t="str">
        <f>TEXT(SalesDataTable[[#This Row],[Order_Date]],"MMM")</f>
        <v>Mar</v>
      </c>
      <c r="E84" t="str">
        <f t="shared" si="5"/>
        <v>Mar 2025</v>
      </c>
      <c r="F84" s="8" t="s">
        <v>35</v>
      </c>
      <c r="G84" s="8" t="s">
        <v>82</v>
      </c>
      <c r="H84" s="8" t="s">
        <v>83</v>
      </c>
      <c r="I84" s="8" t="s">
        <v>65</v>
      </c>
      <c r="J84" s="8" t="s">
        <v>75</v>
      </c>
      <c r="K84" s="8" t="s">
        <v>40</v>
      </c>
      <c r="L84" s="8" t="s">
        <v>67</v>
      </c>
      <c r="M84" s="8" t="s">
        <v>42</v>
      </c>
      <c r="N84" s="3">
        <v>16</v>
      </c>
      <c r="O84" s="15">
        <v>11.89</v>
      </c>
      <c r="P84" s="17">
        <v>0.05</v>
      </c>
      <c r="Q84" s="15">
        <v>6.2</v>
      </c>
      <c r="R84" s="15">
        <f t="shared" si="6"/>
        <v>180.72800000000001</v>
      </c>
      <c r="S84" s="15">
        <f t="shared" si="7"/>
        <v>99.2</v>
      </c>
      <c r="T84" s="15">
        <f t="shared" si="8"/>
        <v>81.528000000000006</v>
      </c>
      <c r="U84" s="17">
        <f t="shared" si="9"/>
        <v>0.45110884865654466</v>
      </c>
      <c r="V84" s="3">
        <v>6</v>
      </c>
      <c r="W84" s="12">
        <v>4</v>
      </c>
    </row>
    <row r="85" spans="1:23">
      <c r="A85" s="8" t="s">
        <v>168</v>
      </c>
      <c r="B85" s="10">
        <v>45803</v>
      </c>
      <c r="C85" s="10" t="str">
        <f>TEXT(SalesDataTable[[#This Row],[Order_Date]],"YYYY")</f>
        <v>2025</v>
      </c>
      <c r="D85" s="10" t="str">
        <f>TEXT(SalesDataTable[[#This Row],[Order_Date]],"MMM")</f>
        <v>May</v>
      </c>
      <c r="E85" t="str">
        <f t="shared" si="5"/>
        <v>May 2025</v>
      </c>
      <c r="F85" s="8" t="s">
        <v>58</v>
      </c>
      <c r="G85" s="8" t="s">
        <v>45</v>
      </c>
      <c r="H85" s="8" t="s">
        <v>74</v>
      </c>
      <c r="I85" s="8" t="s">
        <v>38</v>
      </c>
      <c r="J85" s="8" t="s">
        <v>80</v>
      </c>
      <c r="K85" s="8" t="s">
        <v>40</v>
      </c>
      <c r="L85" s="8" t="s">
        <v>41</v>
      </c>
      <c r="M85" s="8" t="s">
        <v>72</v>
      </c>
      <c r="N85" s="3">
        <v>4</v>
      </c>
      <c r="O85" s="15">
        <v>115.96</v>
      </c>
      <c r="P85" s="17">
        <v>0</v>
      </c>
      <c r="Q85" s="15">
        <v>71.53</v>
      </c>
      <c r="R85" s="15">
        <f t="shared" si="6"/>
        <v>463.84</v>
      </c>
      <c r="S85" s="15">
        <f t="shared" si="7"/>
        <v>286.12</v>
      </c>
      <c r="T85" s="15">
        <f t="shared" si="8"/>
        <v>177.71999999999997</v>
      </c>
      <c r="U85" s="17">
        <f t="shared" si="9"/>
        <v>0.38314936184891335</v>
      </c>
      <c r="V85" s="3">
        <v>5</v>
      </c>
      <c r="W85" s="12">
        <v>4</v>
      </c>
    </row>
    <row r="86" spans="1:23">
      <c r="A86" s="8" t="s">
        <v>169</v>
      </c>
      <c r="B86" s="10">
        <v>45719</v>
      </c>
      <c r="C86" s="10" t="str">
        <f>TEXT(SalesDataTable[[#This Row],[Order_Date]],"YYYY")</f>
        <v>2025</v>
      </c>
      <c r="D86" s="10" t="str">
        <f>TEXT(SalesDataTable[[#This Row],[Order_Date]],"MMM")</f>
        <v>Mar</v>
      </c>
      <c r="E86" t="str">
        <f t="shared" si="5"/>
        <v>Mar 2025</v>
      </c>
      <c r="F86" s="8" t="s">
        <v>44</v>
      </c>
      <c r="G86" s="8" t="s">
        <v>36</v>
      </c>
      <c r="H86" s="8" t="s">
        <v>53</v>
      </c>
      <c r="I86" s="8" t="s">
        <v>38</v>
      </c>
      <c r="J86" s="8" t="s">
        <v>39</v>
      </c>
      <c r="K86" s="8" t="s">
        <v>40</v>
      </c>
      <c r="L86" s="8" t="s">
        <v>50</v>
      </c>
      <c r="M86" s="8" t="s">
        <v>42</v>
      </c>
      <c r="N86" s="3">
        <v>6</v>
      </c>
      <c r="O86" s="15">
        <v>238.12</v>
      </c>
      <c r="P86" s="17">
        <v>0</v>
      </c>
      <c r="Q86" s="15">
        <v>179.84</v>
      </c>
      <c r="R86" s="15">
        <f t="shared" si="6"/>
        <v>1428.72</v>
      </c>
      <c r="S86" s="15">
        <f t="shared" si="7"/>
        <v>1079.04</v>
      </c>
      <c r="T86" s="15">
        <f t="shared" si="8"/>
        <v>349.68000000000006</v>
      </c>
      <c r="U86" s="17">
        <f t="shared" si="9"/>
        <v>0.24475054594322193</v>
      </c>
      <c r="V86" s="3">
        <v>1</v>
      </c>
      <c r="W86" s="12">
        <v>4</v>
      </c>
    </row>
    <row r="87" spans="1:23">
      <c r="A87" s="8" t="s">
        <v>170</v>
      </c>
      <c r="B87" s="10">
        <v>45697</v>
      </c>
      <c r="C87" s="10" t="str">
        <f>TEXT(SalesDataTable[[#This Row],[Order_Date]],"YYYY")</f>
        <v>2025</v>
      </c>
      <c r="D87" s="10" t="str">
        <f>TEXT(SalesDataTable[[#This Row],[Order_Date]],"MMM")</f>
        <v>Feb</v>
      </c>
      <c r="E87" t="str">
        <f t="shared" si="5"/>
        <v>Feb 2025</v>
      </c>
      <c r="F87" s="8" t="s">
        <v>44</v>
      </c>
      <c r="G87" s="8" t="s">
        <v>63</v>
      </c>
      <c r="H87" s="8" t="s">
        <v>98</v>
      </c>
      <c r="I87" s="8" t="s">
        <v>47</v>
      </c>
      <c r="J87" s="8" t="s">
        <v>137</v>
      </c>
      <c r="K87" s="8" t="s">
        <v>71</v>
      </c>
      <c r="L87" s="8" t="s">
        <v>41</v>
      </c>
      <c r="M87" s="8" t="s">
        <v>56</v>
      </c>
      <c r="N87" s="3">
        <v>1</v>
      </c>
      <c r="O87" s="15">
        <v>61.19</v>
      </c>
      <c r="P87" s="17">
        <v>0.15</v>
      </c>
      <c r="Q87" s="15">
        <v>30.32</v>
      </c>
      <c r="R87" s="15">
        <f t="shared" si="6"/>
        <v>52.011499999999998</v>
      </c>
      <c r="S87" s="15">
        <f t="shared" si="7"/>
        <v>30.32</v>
      </c>
      <c r="T87" s="15">
        <f t="shared" si="8"/>
        <v>21.691499999999998</v>
      </c>
      <c r="U87" s="17">
        <f t="shared" si="9"/>
        <v>0.41705199811580129</v>
      </c>
      <c r="V87" s="3">
        <v>8</v>
      </c>
      <c r="W87" s="12">
        <v>5</v>
      </c>
    </row>
    <row r="88" spans="1:23">
      <c r="A88" s="8" t="s">
        <v>171</v>
      </c>
      <c r="B88" s="10">
        <v>45843</v>
      </c>
      <c r="C88" s="10" t="str">
        <f>TEXT(SalesDataTable[[#This Row],[Order_Date]],"YYYY")</f>
        <v>2025</v>
      </c>
      <c r="D88" s="10" t="str">
        <f>TEXT(SalesDataTable[[#This Row],[Order_Date]],"MMM")</f>
        <v>Jul</v>
      </c>
      <c r="E88" t="str">
        <f t="shared" si="5"/>
        <v>Jul 2025</v>
      </c>
      <c r="F88" s="8" t="s">
        <v>44</v>
      </c>
      <c r="G88" s="8" t="s">
        <v>36</v>
      </c>
      <c r="H88" s="8" t="s">
        <v>53</v>
      </c>
      <c r="I88" s="8" t="s">
        <v>54</v>
      </c>
      <c r="J88" s="8" t="s">
        <v>70</v>
      </c>
      <c r="K88" s="8" t="s">
        <v>40</v>
      </c>
      <c r="L88" s="8" t="s">
        <v>41</v>
      </c>
      <c r="M88" s="8" t="s">
        <v>56</v>
      </c>
      <c r="N88" s="3">
        <v>11</v>
      </c>
      <c r="O88" s="15">
        <v>69.17</v>
      </c>
      <c r="P88" s="17">
        <v>0.1</v>
      </c>
      <c r="Q88" s="15">
        <v>36.31</v>
      </c>
      <c r="R88" s="15">
        <f t="shared" si="6"/>
        <v>684.78300000000002</v>
      </c>
      <c r="S88" s="15">
        <f t="shared" si="7"/>
        <v>399.41</v>
      </c>
      <c r="T88" s="15">
        <f t="shared" si="8"/>
        <v>285.37299999999999</v>
      </c>
      <c r="U88" s="17">
        <f t="shared" si="9"/>
        <v>0.41673493646892518</v>
      </c>
      <c r="V88" s="3">
        <v>2</v>
      </c>
      <c r="W88" s="12">
        <v>4</v>
      </c>
    </row>
    <row r="89" spans="1:23">
      <c r="A89" s="8" t="s">
        <v>172</v>
      </c>
      <c r="B89" s="10">
        <v>45716</v>
      </c>
      <c r="C89" s="10" t="str">
        <f>TEXT(SalesDataTable[[#This Row],[Order_Date]],"YYYY")</f>
        <v>2025</v>
      </c>
      <c r="D89" s="10" t="str">
        <f>TEXT(SalesDataTable[[#This Row],[Order_Date]],"MMM")</f>
        <v>Feb</v>
      </c>
      <c r="E89" t="str">
        <f t="shared" si="5"/>
        <v>Feb 2025</v>
      </c>
      <c r="F89" s="8" t="s">
        <v>44</v>
      </c>
      <c r="G89" s="8" t="s">
        <v>82</v>
      </c>
      <c r="H89" s="8" t="s">
        <v>103</v>
      </c>
      <c r="I89" s="8" t="s">
        <v>47</v>
      </c>
      <c r="J89" s="8" t="s">
        <v>78</v>
      </c>
      <c r="K89" s="8" t="s">
        <v>40</v>
      </c>
      <c r="L89" s="8" t="s">
        <v>50</v>
      </c>
      <c r="M89" s="8" t="s">
        <v>68</v>
      </c>
      <c r="N89" s="3">
        <v>10</v>
      </c>
      <c r="O89" s="15">
        <v>42.01</v>
      </c>
      <c r="P89" s="17">
        <v>0</v>
      </c>
      <c r="Q89" s="15">
        <v>28.12</v>
      </c>
      <c r="R89" s="15">
        <f t="shared" si="6"/>
        <v>420.09999999999997</v>
      </c>
      <c r="S89" s="15">
        <f t="shared" si="7"/>
        <v>281.2</v>
      </c>
      <c r="T89" s="15">
        <f t="shared" si="8"/>
        <v>138.89999999999998</v>
      </c>
      <c r="U89" s="17">
        <f t="shared" si="9"/>
        <v>0.33063556296119967</v>
      </c>
      <c r="V89" s="3">
        <v>8</v>
      </c>
      <c r="W89" s="12">
        <v>4</v>
      </c>
    </row>
    <row r="90" spans="1:23">
      <c r="A90" s="8" t="s">
        <v>173</v>
      </c>
      <c r="B90" s="10">
        <v>45946</v>
      </c>
      <c r="C90" s="10" t="str">
        <f>TEXT(SalesDataTable[[#This Row],[Order_Date]],"YYYY")</f>
        <v>2025</v>
      </c>
      <c r="D90" s="10" t="str">
        <f>TEXT(SalesDataTable[[#This Row],[Order_Date]],"MMM")</f>
        <v>Oct</v>
      </c>
      <c r="E90" t="str">
        <f t="shared" si="5"/>
        <v>Oct 2025</v>
      </c>
      <c r="F90" s="8" t="s">
        <v>35</v>
      </c>
      <c r="G90" s="8" t="s">
        <v>45</v>
      </c>
      <c r="H90" s="8" t="s">
        <v>74</v>
      </c>
      <c r="I90" s="8" t="s">
        <v>54</v>
      </c>
      <c r="J90" s="8" t="s">
        <v>55</v>
      </c>
      <c r="K90" s="8" t="s">
        <v>49</v>
      </c>
      <c r="L90" s="8" t="s">
        <v>50</v>
      </c>
      <c r="M90" s="8" t="s">
        <v>56</v>
      </c>
      <c r="N90" s="3">
        <v>4</v>
      </c>
      <c r="O90" s="15">
        <v>75.239999999999995</v>
      </c>
      <c r="P90" s="17">
        <v>0.1</v>
      </c>
      <c r="Q90" s="15">
        <v>45.95</v>
      </c>
      <c r="R90" s="15">
        <f t="shared" si="6"/>
        <v>270.86399999999998</v>
      </c>
      <c r="S90" s="15">
        <f t="shared" si="7"/>
        <v>183.8</v>
      </c>
      <c r="T90" s="15">
        <f t="shared" si="8"/>
        <v>87.063999999999965</v>
      </c>
      <c r="U90" s="17">
        <f t="shared" si="9"/>
        <v>0.32143068107980377</v>
      </c>
      <c r="V90" s="3">
        <v>1</v>
      </c>
      <c r="W90" s="12">
        <v>4</v>
      </c>
    </row>
    <row r="91" spans="1:23">
      <c r="A91" s="8" t="s">
        <v>174</v>
      </c>
      <c r="B91" s="10">
        <v>45695</v>
      </c>
      <c r="C91" s="10" t="str">
        <f>TEXT(SalesDataTable[[#This Row],[Order_Date]],"YYYY")</f>
        <v>2025</v>
      </c>
      <c r="D91" s="10" t="str">
        <f>TEXT(SalesDataTable[[#This Row],[Order_Date]],"MMM")</f>
        <v>Feb</v>
      </c>
      <c r="E91" t="str">
        <f t="shared" si="5"/>
        <v>Feb 2025</v>
      </c>
      <c r="F91" s="8" t="s">
        <v>44</v>
      </c>
      <c r="G91" s="8" t="s">
        <v>63</v>
      </c>
      <c r="H91" s="8" t="s">
        <v>124</v>
      </c>
      <c r="I91" s="8" t="s">
        <v>47</v>
      </c>
      <c r="J91" s="8" t="s">
        <v>105</v>
      </c>
      <c r="K91" s="8" t="s">
        <v>40</v>
      </c>
      <c r="L91" s="8" t="s">
        <v>41</v>
      </c>
      <c r="M91" s="8" t="s">
        <v>42</v>
      </c>
      <c r="N91" s="3">
        <v>10</v>
      </c>
      <c r="O91" s="15">
        <v>35.4</v>
      </c>
      <c r="P91" s="17">
        <v>0.05</v>
      </c>
      <c r="Q91" s="15">
        <v>19.88</v>
      </c>
      <c r="R91" s="15">
        <f t="shared" si="6"/>
        <v>336.3</v>
      </c>
      <c r="S91" s="15">
        <f t="shared" si="7"/>
        <v>198.79999999999998</v>
      </c>
      <c r="T91" s="15">
        <f t="shared" si="8"/>
        <v>137.50000000000003</v>
      </c>
      <c r="U91" s="17">
        <f t="shared" si="9"/>
        <v>0.40886113589057399</v>
      </c>
      <c r="V91" s="3">
        <v>1</v>
      </c>
      <c r="W91" s="12">
        <v>4</v>
      </c>
    </row>
    <row r="92" spans="1:23">
      <c r="A92" s="8" t="s">
        <v>175</v>
      </c>
      <c r="B92" s="10">
        <v>45950</v>
      </c>
      <c r="C92" s="10" t="str">
        <f>TEXT(SalesDataTable[[#This Row],[Order_Date]],"YYYY")</f>
        <v>2025</v>
      </c>
      <c r="D92" s="10" t="str">
        <f>TEXT(SalesDataTable[[#This Row],[Order_Date]],"MMM")</f>
        <v>Oct</v>
      </c>
      <c r="E92" t="str">
        <f t="shared" si="5"/>
        <v>Oct 2025</v>
      </c>
      <c r="F92" s="8" t="s">
        <v>44</v>
      </c>
      <c r="G92" s="8" t="s">
        <v>82</v>
      </c>
      <c r="H92" s="8" t="s">
        <v>103</v>
      </c>
      <c r="I92" s="8" t="s">
        <v>38</v>
      </c>
      <c r="J92" s="8" t="s">
        <v>39</v>
      </c>
      <c r="K92" s="8" t="s">
        <v>49</v>
      </c>
      <c r="L92" s="8" t="s">
        <v>76</v>
      </c>
      <c r="M92" s="8" t="s">
        <v>51</v>
      </c>
      <c r="N92" s="3">
        <v>2</v>
      </c>
      <c r="O92" s="15">
        <v>262.86</v>
      </c>
      <c r="P92" s="17">
        <v>0</v>
      </c>
      <c r="Q92" s="15">
        <v>161.09</v>
      </c>
      <c r="R92" s="15">
        <f t="shared" si="6"/>
        <v>525.72</v>
      </c>
      <c r="S92" s="15">
        <f t="shared" si="7"/>
        <v>322.18</v>
      </c>
      <c r="T92" s="15">
        <f t="shared" si="8"/>
        <v>203.54000000000002</v>
      </c>
      <c r="U92" s="17">
        <f t="shared" si="9"/>
        <v>0.38716426995358749</v>
      </c>
      <c r="V92" s="3">
        <v>8</v>
      </c>
      <c r="W92" s="12">
        <v>5</v>
      </c>
    </row>
    <row r="93" spans="1:23">
      <c r="A93" s="8" t="s">
        <v>176</v>
      </c>
      <c r="B93" s="10">
        <v>45926</v>
      </c>
      <c r="C93" s="10" t="str">
        <f>TEXT(SalesDataTable[[#This Row],[Order_Date]],"YYYY")</f>
        <v>2025</v>
      </c>
      <c r="D93" s="10" t="str">
        <f>TEXT(SalesDataTable[[#This Row],[Order_Date]],"MMM")</f>
        <v>Sep</v>
      </c>
      <c r="E93" t="str">
        <f t="shared" si="5"/>
        <v>Sep 2025</v>
      </c>
      <c r="F93" s="8" t="s">
        <v>35</v>
      </c>
      <c r="G93" s="8" t="s">
        <v>82</v>
      </c>
      <c r="H93" s="8" t="s">
        <v>103</v>
      </c>
      <c r="I93" s="8" t="s">
        <v>47</v>
      </c>
      <c r="J93" s="8" t="s">
        <v>48</v>
      </c>
      <c r="K93" s="8" t="s">
        <v>40</v>
      </c>
      <c r="L93" s="8" t="s">
        <v>41</v>
      </c>
      <c r="M93" s="8" t="s">
        <v>51</v>
      </c>
      <c r="N93" s="3">
        <v>11</v>
      </c>
      <c r="O93" s="15">
        <v>21.42</v>
      </c>
      <c r="P93" s="17">
        <v>0.05</v>
      </c>
      <c r="Q93" s="15">
        <v>10.7</v>
      </c>
      <c r="R93" s="15">
        <f t="shared" si="6"/>
        <v>223.839</v>
      </c>
      <c r="S93" s="15">
        <f t="shared" si="7"/>
        <v>117.69999999999999</v>
      </c>
      <c r="T93" s="15">
        <f t="shared" si="8"/>
        <v>106.13900000000001</v>
      </c>
      <c r="U93" s="17">
        <f t="shared" si="9"/>
        <v>0.47417563516634731</v>
      </c>
      <c r="V93" s="3">
        <v>7</v>
      </c>
      <c r="W93" s="12">
        <v>4</v>
      </c>
    </row>
    <row r="94" spans="1:23">
      <c r="A94" s="8" t="s">
        <v>177</v>
      </c>
      <c r="B94" s="10">
        <v>45994</v>
      </c>
      <c r="C94" s="10" t="str">
        <f>TEXT(SalesDataTable[[#This Row],[Order_Date]],"YYYY")</f>
        <v>2025</v>
      </c>
      <c r="D94" s="10" t="str">
        <f>TEXT(SalesDataTable[[#This Row],[Order_Date]],"MMM")</f>
        <v>Dec</v>
      </c>
      <c r="E94" t="str">
        <f t="shared" si="5"/>
        <v>Dec 2025</v>
      </c>
      <c r="F94" s="8" t="s">
        <v>44</v>
      </c>
      <c r="G94" s="8" t="s">
        <v>82</v>
      </c>
      <c r="H94" s="8" t="s">
        <v>103</v>
      </c>
      <c r="I94" s="8" t="s">
        <v>65</v>
      </c>
      <c r="J94" s="8" t="s">
        <v>92</v>
      </c>
      <c r="K94" s="8" t="s">
        <v>49</v>
      </c>
      <c r="L94" s="8" t="s">
        <v>67</v>
      </c>
      <c r="M94" s="8" t="s">
        <v>68</v>
      </c>
      <c r="N94" s="3">
        <v>21</v>
      </c>
      <c r="O94" s="15">
        <v>19.010000000000002</v>
      </c>
      <c r="P94" s="17">
        <v>0.05</v>
      </c>
      <c r="Q94" s="15">
        <v>9.34</v>
      </c>
      <c r="R94" s="15">
        <f t="shared" si="6"/>
        <v>379.24950000000001</v>
      </c>
      <c r="S94" s="15">
        <f t="shared" si="7"/>
        <v>196.14</v>
      </c>
      <c r="T94" s="15">
        <f t="shared" si="8"/>
        <v>183.10950000000003</v>
      </c>
      <c r="U94" s="17">
        <f t="shared" si="9"/>
        <v>0.48282067609845242</v>
      </c>
      <c r="V94" s="3">
        <v>6</v>
      </c>
      <c r="W94" s="12">
        <v>5</v>
      </c>
    </row>
    <row r="95" spans="1:23">
      <c r="A95" s="8" t="s">
        <v>178</v>
      </c>
      <c r="B95" s="10">
        <v>46001</v>
      </c>
      <c r="C95" s="10" t="str">
        <f>TEXT(SalesDataTable[[#This Row],[Order_Date]],"YYYY")</f>
        <v>2025</v>
      </c>
      <c r="D95" s="10" t="str">
        <f>TEXT(SalesDataTable[[#This Row],[Order_Date]],"MMM")</f>
        <v>Dec</v>
      </c>
      <c r="E95" t="str">
        <f t="shared" si="5"/>
        <v>Dec 2025</v>
      </c>
      <c r="F95" s="8" t="s">
        <v>44</v>
      </c>
      <c r="G95" s="8" t="s">
        <v>36</v>
      </c>
      <c r="H95" s="8" t="s">
        <v>61</v>
      </c>
      <c r="I95" s="8" t="s">
        <v>38</v>
      </c>
      <c r="J95" s="8" t="s">
        <v>59</v>
      </c>
      <c r="K95" s="8" t="s">
        <v>40</v>
      </c>
      <c r="L95" s="8" t="s">
        <v>50</v>
      </c>
      <c r="M95" s="8" t="s">
        <v>85</v>
      </c>
      <c r="N95" s="3">
        <v>8</v>
      </c>
      <c r="O95" s="15">
        <v>131.91</v>
      </c>
      <c r="P95" s="17">
        <v>0</v>
      </c>
      <c r="Q95" s="15">
        <v>97.2</v>
      </c>
      <c r="R95" s="15">
        <f t="shared" si="6"/>
        <v>1055.28</v>
      </c>
      <c r="S95" s="15">
        <f t="shared" si="7"/>
        <v>777.6</v>
      </c>
      <c r="T95" s="15">
        <f t="shared" si="8"/>
        <v>277.67999999999995</v>
      </c>
      <c r="U95" s="17">
        <f t="shared" si="9"/>
        <v>0.2631339549692972</v>
      </c>
      <c r="V95" s="3">
        <v>5</v>
      </c>
      <c r="W95" s="12">
        <v>5</v>
      </c>
    </row>
    <row r="96" spans="1:23">
      <c r="A96" s="8" t="s">
        <v>179</v>
      </c>
      <c r="B96" s="10">
        <v>45709</v>
      </c>
      <c r="C96" s="10" t="str">
        <f>TEXT(SalesDataTable[[#This Row],[Order_Date]],"YYYY")</f>
        <v>2025</v>
      </c>
      <c r="D96" s="10" t="str">
        <f>TEXT(SalesDataTable[[#This Row],[Order_Date]],"MMM")</f>
        <v>Feb</v>
      </c>
      <c r="E96" t="str">
        <f t="shared" si="5"/>
        <v>Feb 2025</v>
      </c>
      <c r="F96" s="8" t="s">
        <v>44</v>
      </c>
      <c r="G96" s="8" t="s">
        <v>36</v>
      </c>
      <c r="H96" s="8" t="s">
        <v>61</v>
      </c>
      <c r="I96" s="8" t="s">
        <v>47</v>
      </c>
      <c r="J96" s="8" t="s">
        <v>78</v>
      </c>
      <c r="K96" s="8" t="s">
        <v>71</v>
      </c>
      <c r="L96" s="8" t="s">
        <v>50</v>
      </c>
      <c r="M96" s="8" t="s">
        <v>51</v>
      </c>
      <c r="N96" s="3">
        <v>10</v>
      </c>
      <c r="O96" s="15">
        <v>48.51</v>
      </c>
      <c r="P96" s="17">
        <v>0.05</v>
      </c>
      <c r="Q96" s="15">
        <v>25.56</v>
      </c>
      <c r="R96" s="15">
        <f t="shared" si="6"/>
        <v>460.84499999999997</v>
      </c>
      <c r="S96" s="15">
        <f t="shared" si="7"/>
        <v>255.6</v>
      </c>
      <c r="T96" s="15">
        <f t="shared" si="8"/>
        <v>205.24499999999998</v>
      </c>
      <c r="U96" s="17">
        <f t="shared" si="9"/>
        <v>0.44536666341177616</v>
      </c>
      <c r="V96" s="3">
        <v>7</v>
      </c>
      <c r="W96" s="12">
        <v>4</v>
      </c>
    </row>
    <row r="97" spans="1:23">
      <c r="A97" s="8" t="s">
        <v>180</v>
      </c>
      <c r="B97" s="10">
        <v>45779</v>
      </c>
      <c r="C97" s="10" t="str">
        <f>TEXT(SalesDataTable[[#This Row],[Order_Date]],"YYYY")</f>
        <v>2025</v>
      </c>
      <c r="D97" s="10" t="str">
        <f>TEXT(SalesDataTable[[#This Row],[Order_Date]],"MMM")</f>
        <v>May</v>
      </c>
      <c r="E97" t="str">
        <f t="shared" si="5"/>
        <v>May 2025</v>
      </c>
      <c r="F97" s="8" t="s">
        <v>44</v>
      </c>
      <c r="G97" s="8" t="s">
        <v>45</v>
      </c>
      <c r="H97" s="8" t="s">
        <v>74</v>
      </c>
      <c r="I97" s="8" t="s">
        <v>47</v>
      </c>
      <c r="J97" s="8" t="s">
        <v>137</v>
      </c>
      <c r="K97" s="8" t="s">
        <v>40</v>
      </c>
      <c r="L97" s="8" t="s">
        <v>67</v>
      </c>
      <c r="M97" s="8" t="s">
        <v>68</v>
      </c>
      <c r="N97" s="3">
        <v>6</v>
      </c>
      <c r="O97" s="15">
        <v>57.71</v>
      </c>
      <c r="P97" s="17">
        <v>0.05</v>
      </c>
      <c r="Q97" s="15">
        <v>32.36</v>
      </c>
      <c r="R97" s="15">
        <f t="shared" si="6"/>
        <v>328.947</v>
      </c>
      <c r="S97" s="15">
        <f t="shared" si="7"/>
        <v>194.16</v>
      </c>
      <c r="T97" s="15">
        <f t="shared" si="8"/>
        <v>134.78700000000001</v>
      </c>
      <c r="U97" s="17">
        <f t="shared" si="9"/>
        <v>0.40975293892329162</v>
      </c>
      <c r="V97" s="3">
        <v>5</v>
      </c>
      <c r="W97" s="12">
        <v>5</v>
      </c>
    </row>
    <row r="98" spans="1:23">
      <c r="A98" s="8" t="s">
        <v>181</v>
      </c>
      <c r="B98" s="10">
        <v>45915</v>
      </c>
      <c r="C98" s="10" t="str">
        <f>TEXT(SalesDataTable[[#This Row],[Order_Date]],"YYYY")</f>
        <v>2025</v>
      </c>
      <c r="D98" s="10" t="str">
        <f>TEXT(SalesDataTable[[#This Row],[Order_Date]],"MMM")</f>
        <v>Sep</v>
      </c>
      <c r="E98" t="str">
        <f t="shared" si="5"/>
        <v>Sep 2025</v>
      </c>
      <c r="F98" s="8" t="s">
        <v>44</v>
      </c>
      <c r="G98" s="8" t="s">
        <v>45</v>
      </c>
      <c r="H98" s="8" t="s">
        <v>46</v>
      </c>
      <c r="I98" s="8" t="s">
        <v>54</v>
      </c>
      <c r="J98" s="8" t="s">
        <v>70</v>
      </c>
      <c r="K98" s="8" t="s">
        <v>49</v>
      </c>
      <c r="L98" s="8" t="s">
        <v>67</v>
      </c>
      <c r="M98" s="8" t="s">
        <v>85</v>
      </c>
      <c r="N98" s="3">
        <v>19</v>
      </c>
      <c r="O98" s="15">
        <v>71.86</v>
      </c>
      <c r="P98" s="17">
        <v>0.05</v>
      </c>
      <c r="Q98" s="15">
        <v>39.29</v>
      </c>
      <c r="R98" s="15">
        <f t="shared" si="6"/>
        <v>1297.0729999999999</v>
      </c>
      <c r="S98" s="15">
        <f t="shared" si="7"/>
        <v>746.51</v>
      </c>
      <c r="T98" s="15">
        <f t="shared" si="8"/>
        <v>550.56299999999987</v>
      </c>
      <c r="U98" s="17">
        <f t="shared" si="9"/>
        <v>0.42446570085106999</v>
      </c>
      <c r="V98" s="3">
        <v>2</v>
      </c>
      <c r="W98" s="12">
        <v>4</v>
      </c>
    </row>
    <row r="99" spans="1:23">
      <c r="A99" s="8" t="s">
        <v>182</v>
      </c>
      <c r="B99" s="10">
        <v>45740</v>
      </c>
      <c r="C99" s="10" t="str">
        <f>TEXT(SalesDataTable[[#This Row],[Order_Date]],"YYYY")</f>
        <v>2025</v>
      </c>
      <c r="D99" s="10" t="str">
        <f>TEXT(SalesDataTable[[#This Row],[Order_Date]],"MMM")</f>
        <v>Mar</v>
      </c>
      <c r="E99" t="str">
        <f t="shared" si="5"/>
        <v>Mar 2025</v>
      </c>
      <c r="F99" s="8" t="s">
        <v>44</v>
      </c>
      <c r="G99" s="8" t="s">
        <v>63</v>
      </c>
      <c r="H99" s="8" t="s">
        <v>124</v>
      </c>
      <c r="I99" s="8" t="s">
        <v>54</v>
      </c>
      <c r="J99" s="8" t="s">
        <v>70</v>
      </c>
      <c r="K99" s="8" t="s">
        <v>49</v>
      </c>
      <c r="L99" s="8" t="s">
        <v>50</v>
      </c>
      <c r="M99" s="8" t="s">
        <v>56</v>
      </c>
      <c r="N99" s="3">
        <v>13</v>
      </c>
      <c r="O99" s="15">
        <v>71.81</v>
      </c>
      <c r="P99" s="17">
        <v>0.05</v>
      </c>
      <c r="Q99" s="15">
        <v>37.479999999999997</v>
      </c>
      <c r="R99" s="15">
        <f t="shared" si="6"/>
        <v>886.85349999999994</v>
      </c>
      <c r="S99" s="15">
        <f t="shared" si="7"/>
        <v>487.23999999999995</v>
      </c>
      <c r="T99" s="15">
        <f t="shared" si="8"/>
        <v>399.61349999999999</v>
      </c>
      <c r="U99" s="17">
        <f t="shared" si="9"/>
        <v>0.45059697007453881</v>
      </c>
      <c r="V99" s="3">
        <v>6</v>
      </c>
      <c r="W99" s="12">
        <v>4</v>
      </c>
    </row>
    <row r="100" spans="1:23">
      <c r="A100" s="8" t="s">
        <v>183</v>
      </c>
      <c r="B100" s="10">
        <v>45699</v>
      </c>
      <c r="C100" s="10" t="str">
        <f>TEXT(SalesDataTable[[#This Row],[Order_Date]],"YYYY")</f>
        <v>2025</v>
      </c>
      <c r="D100" s="10" t="str">
        <f>TEXT(SalesDataTable[[#This Row],[Order_Date]],"MMM")</f>
        <v>Feb</v>
      </c>
      <c r="E100" t="str">
        <f t="shared" si="5"/>
        <v>Feb 2025</v>
      </c>
      <c r="F100" s="8" t="s">
        <v>35</v>
      </c>
      <c r="G100" s="8" t="s">
        <v>63</v>
      </c>
      <c r="H100" s="8" t="s">
        <v>64</v>
      </c>
      <c r="I100" s="8" t="s">
        <v>65</v>
      </c>
      <c r="J100" s="8" t="s">
        <v>75</v>
      </c>
      <c r="K100" s="8" t="s">
        <v>49</v>
      </c>
      <c r="L100" s="8" t="s">
        <v>50</v>
      </c>
      <c r="M100" s="8" t="s">
        <v>68</v>
      </c>
      <c r="N100" s="3">
        <v>3</v>
      </c>
      <c r="O100" s="15">
        <v>11.56</v>
      </c>
      <c r="P100" s="17">
        <v>0.1</v>
      </c>
      <c r="Q100" s="15">
        <v>6.84</v>
      </c>
      <c r="R100" s="15">
        <f t="shared" si="6"/>
        <v>31.212</v>
      </c>
      <c r="S100" s="15">
        <f t="shared" si="7"/>
        <v>20.52</v>
      </c>
      <c r="T100" s="15">
        <f t="shared" si="8"/>
        <v>10.692</v>
      </c>
      <c r="U100" s="17">
        <f t="shared" si="9"/>
        <v>0.34256055363321802</v>
      </c>
      <c r="V100" s="3">
        <v>3</v>
      </c>
      <c r="W100" s="12">
        <v>5</v>
      </c>
    </row>
    <row r="101" spans="1:23">
      <c r="A101" s="8" t="s">
        <v>184</v>
      </c>
      <c r="B101" s="10">
        <v>45898</v>
      </c>
      <c r="C101" s="10" t="str">
        <f>TEXT(SalesDataTable[[#This Row],[Order_Date]],"YYYY")</f>
        <v>2025</v>
      </c>
      <c r="D101" s="10" t="str">
        <f>TEXT(SalesDataTable[[#This Row],[Order_Date]],"MMM")</f>
        <v>Aug</v>
      </c>
      <c r="E101" t="str">
        <f t="shared" si="5"/>
        <v>Aug 2025</v>
      </c>
      <c r="F101" s="8" t="s">
        <v>44</v>
      </c>
      <c r="G101" s="8" t="s">
        <v>45</v>
      </c>
      <c r="H101" s="8" t="s">
        <v>74</v>
      </c>
      <c r="I101" s="8" t="s">
        <v>65</v>
      </c>
      <c r="J101" s="8" t="s">
        <v>75</v>
      </c>
      <c r="K101" s="8" t="s">
        <v>40</v>
      </c>
      <c r="L101" s="8" t="s">
        <v>50</v>
      </c>
      <c r="M101" s="8" t="s">
        <v>42</v>
      </c>
      <c r="N101" s="3">
        <v>25</v>
      </c>
      <c r="O101" s="15">
        <v>12.41</v>
      </c>
      <c r="P101" s="17">
        <v>0.1</v>
      </c>
      <c r="Q101" s="15">
        <v>6.42</v>
      </c>
      <c r="R101" s="15">
        <f t="shared" si="6"/>
        <v>279.22500000000002</v>
      </c>
      <c r="S101" s="15">
        <f t="shared" si="7"/>
        <v>160.5</v>
      </c>
      <c r="T101" s="15">
        <f t="shared" si="8"/>
        <v>118.72500000000002</v>
      </c>
      <c r="U101" s="17">
        <f t="shared" si="9"/>
        <v>0.42519473542841801</v>
      </c>
      <c r="V101" s="3">
        <v>4</v>
      </c>
      <c r="W101" s="12">
        <v>4</v>
      </c>
    </row>
    <row r="102" spans="1:23">
      <c r="A102" s="8" t="s">
        <v>185</v>
      </c>
      <c r="B102" s="10">
        <v>45682</v>
      </c>
      <c r="C102" s="10" t="str">
        <f>TEXT(SalesDataTable[[#This Row],[Order_Date]],"YYYY")</f>
        <v>2025</v>
      </c>
      <c r="D102" s="10" t="str">
        <f>TEXT(SalesDataTable[[#This Row],[Order_Date]],"MMM")</f>
        <v>Jan</v>
      </c>
      <c r="E102" t="str">
        <f t="shared" si="5"/>
        <v>Jan 2025</v>
      </c>
      <c r="F102" s="8" t="s">
        <v>35</v>
      </c>
      <c r="G102" s="8" t="s">
        <v>82</v>
      </c>
      <c r="H102" s="8" t="s">
        <v>103</v>
      </c>
      <c r="I102" s="8" t="s">
        <v>38</v>
      </c>
      <c r="J102" s="8" t="s">
        <v>186</v>
      </c>
      <c r="K102" s="8" t="s">
        <v>40</v>
      </c>
      <c r="L102" s="8" t="s">
        <v>67</v>
      </c>
      <c r="M102" s="8" t="s">
        <v>42</v>
      </c>
      <c r="N102" s="3">
        <v>1</v>
      </c>
      <c r="O102" s="15">
        <v>181.83</v>
      </c>
      <c r="P102" s="17">
        <v>0.1</v>
      </c>
      <c r="Q102" s="15">
        <v>116.38</v>
      </c>
      <c r="R102" s="15">
        <f t="shared" si="6"/>
        <v>163.64700000000002</v>
      </c>
      <c r="S102" s="15">
        <f t="shared" si="7"/>
        <v>116.38</v>
      </c>
      <c r="T102" s="15">
        <f t="shared" si="8"/>
        <v>47.267000000000024</v>
      </c>
      <c r="U102" s="17">
        <f t="shared" si="9"/>
        <v>0.28883511460643957</v>
      </c>
      <c r="V102" s="3">
        <v>5</v>
      </c>
      <c r="W102" s="12">
        <v>4</v>
      </c>
    </row>
    <row r="103" spans="1:23">
      <c r="A103" s="8" t="s">
        <v>187</v>
      </c>
      <c r="B103" s="10">
        <v>45972</v>
      </c>
      <c r="C103" s="10" t="str">
        <f>TEXT(SalesDataTable[[#This Row],[Order_Date]],"YYYY")</f>
        <v>2025</v>
      </c>
      <c r="D103" s="10" t="str">
        <f>TEXT(SalesDataTable[[#This Row],[Order_Date]],"MMM")</f>
        <v>Nov</v>
      </c>
      <c r="E103" t="str">
        <f t="shared" si="5"/>
        <v>Nov 2025</v>
      </c>
      <c r="F103" s="8" t="s">
        <v>44</v>
      </c>
      <c r="G103" s="8" t="s">
        <v>63</v>
      </c>
      <c r="H103" s="8" t="s">
        <v>64</v>
      </c>
      <c r="I103" s="8" t="s">
        <v>47</v>
      </c>
      <c r="J103" s="8" t="s">
        <v>78</v>
      </c>
      <c r="K103" s="8" t="s">
        <v>71</v>
      </c>
      <c r="L103" s="8" t="s">
        <v>76</v>
      </c>
      <c r="M103" s="8" t="s">
        <v>72</v>
      </c>
      <c r="N103" s="3">
        <v>9</v>
      </c>
      <c r="O103" s="15">
        <v>45.89</v>
      </c>
      <c r="P103" s="17">
        <v>0.05</v>
      </c>
      <c r="Q103" s="15">
        <v>28.24</v>
      </c>
      <c r="R103" s="15">
        <f t="shared" si="6"/>
        <v>392.35949999999997</v>
      </c>
      <c r="S103" s="15">
        <f t="shared" si="7"/>
        <v>254.16</v>
      </c>
      <c r="T103" s="15">
        <f t="shared" si="8"/>
        <v>138.19949999999997</v>
      </c>
      <c r="U103" s="17">
        <f t="shared" si="9"/>
        <v>0.35222672064777322</v>
      </c>
      <c r="V103" s="3">
        <v>1</v>
      </c>
      <c r="W103" s="12">
        <v>4</v>
      </c>
    </row>
    <row r="104" spans="1:23">
      <c r="A104" s="8" t="s">
        <v>188</v>
      </c>
      <c r="B104" s="10">
        <v>45898</v>
      </c>
      <c r="C104" s="10" t="str">
        <f>TEXT(SalesDataTable[[#This Row],[Order_Date]],"YYYY")</f>
        <v>2025</v>
      </c>
      <c r="D104" s="10" t="str">
        <f>TEXT(SalesDataTable[[#This Row],[Order_Date]],"MMM")</f>
        <v>Aug</v>
      </c>
      <c r="E104" t="str">
        <f t="shared" si="5"/>
        <v>Aug 2025</v>
      </c>
      <c r="F104" s="8" t="s">
        <v>44</v>
      </c>
      <c r="G104" s="8" t="s">
        <v>36</v>
      </c>
      <c r="H104" s="8" t="s">
        <v>61</v>
      </c>
      <c r="I104" s="8" t="s">
        <v>47</v>
      </c>
      <c r="J104" s="8" t="s">
        <v>48</v>
      </c>
      <c r="K104" s="8" t="s">
        <v>40</v>
      </c>
      <c r="L104" s="8" t="s">
        <v>41</v>
      </c>
      <c r="M104" s="8" t="s">
        <v>85</v>
      </c>
      <c r="N104" s="3">
        <v>4</v>
      </c>
      <c r="O104" s="15">
        <v>23.35</v>
      </c>
      <c r="P104" s="17">
        <v>0.1</v>
      </c>
      <c r="Q104" s="15">
        <v>11.23</v>
      </c>
      <c r="R104" s="15">
        <f t="shared" si="6"/>
        <v>84.06</v>
      </c>
      <c r="S104" s="15">
        <f t="shared" si="7"/>
        <v>44.92</v>
      </c>
      <c r="T104" s="15">
        <f t="shared" si="8"/>
        <v>39.14</v>
      </c>
      <c r="U104" s="17">
        <f t="shared" si="9"/>
        <v>0.46561979538424936</v>
      </c>
      <c r="V104" s="3">
        <v>6</v>
      </c>
      <c r="W104" s="12">
        <v>4</v>
      </c>
    </row>
    <row r="105" spans="1:23">
      <c r="A105" s="8" t="s">
        <v>189</v>
      </c>
      <c r="B105" s="10">
        <v>45838</v>
      </c>
      <c r="C105" s="10" t="str">
        <f>TEXT(SalesDataTable[[#This Row],[Order_Date]],"YYYY")</f>
        <v>2025</v>
      </c>
      <c r="D105" s="10" t="str">
        <f>TEXT(SalesDataTable[[#This Row],[Order_Date]],"MMM")</f>
        <v>Jun</v>
      </c>
      <c r="E105" t="str">
        <f t="shared" si="5"/>
        <v>Jun 2025</v>
      </c>
      <c r="F105" s="8" t="s">
        <v>44</v>
      </c>
      <c r="G105" s="8" t="s">
        <v>63</v>
      </c>
      <c r="H105" s="8" t="s">
        <v>98</v>
      </c>
      <c r="I105" s="8" t="s">
        <v>65</v>
      </c>
      <c r="J105" s="8" t="s">
        <v>87</v>
      </c>
      <c r="K105" s="8" t="s">
        <v>49</v>
      </c>
      <c r="L105" s="8" t="s">
        <v>50</v>
      </c>
      <c r="M105" s="8" t="s">
        <v>68</v>
      </c>
      <c r="N105" s="3">
        <v>4</v>
      </c>
      <c r="O105" s="15">
        <v>10.58</v>
      </c>
      <c r="P105" s="17">
        <v>0</v>
      </c>
      <c r="Q105" s="15">
        <v>4.82</v>
      </c>
      <c r="R105" s="15">
        <f t="shared" si="6"/>
        <v>42.32</v>
      </c>
      <c r="S105" s="15">
        <f t="shared" si="7"/>
        <v>19.28</v>
      </c>
      <c r="T105" s="15">
        <f t="shared" si="8"/>
        <v>23.04</v>
      </c>
      <c r="U105" s="17">
        <f t="shared" si="9"/>
        <v>0.54442344045368618</v>
      </c>
      <c r="V105" s="3">
        <v>4</v>
      </c>
      <c r="W105" s="12">
        <v>3</v>
      </c>
    </row>
    <row r="106" spans="1:23">
      <c r="A106" s="8" t="s">
        <v>190</v>
      </c>
      <c r="B106" s="10">
        <v>45760</v>
      </c>
      <c r="C106" s="10" t="str">
        <f>TEXT(SalesDataTable[[#This Row],[Order_Date]],"YYYY")</f>
        <v>2025</v>
      </c>
      <c r="D106" s="10" t="str">
        <f>TEXT(SalesDataTable[[#This Row],[Order_Date]],"MMM")</f>
        <v>Apr</v>
      </c>
      <c r="E106" t="str">
        <f t="shared" si="5"/>
        <v>Apr 2025</v>
      </c>
      <c r="F106" s="8" t="s">
        <v>44</v>
      </c>
      <c r="G106" s="8" t="s">
        <v>36</v>
      </c>
      <c r="H106" s="8" t="s">
        <v>53</v>
      </c>
      <c r="I106" s="8" t="s">
        <v>54</v>
      </c>
      <c r="J106" s="8" t="s">
        <v>130</v>
      </c>
      <c r="K106" s="8" t="s">
        <v>49</v>
      </c>
      <c r="L106" s="8" t="s">
        <v>76</v>
      </c>
      <c r="M106" s="8" t="s">
        <v>72</v>
      </c>
      <c r="N106" s="3">
        <v>22</v>
      </c>
      <c r="O106" s="15">
        <v>37.68</v>
      </c>
      <c r="P106" s="17">
        <v>0.1</v>
      </c>
      <c r="Q106" s="15">
        <v>23.45</v>
      </c>
      <c r="R106" s="15">
        <f t="shared" si="6"/>
        <v>746.06400000000008</v>
      </c>
      <c r="S106" s="15">
        <f t="shared" si="7"/>
        <v>515.9</v>
      </c>
      <c r="T106" s="15">
        <f t="shared" si="8"/>
        <v>230.1640000000001</v>
      </c>
      <c r="U106" s="17">
        <f t="shared" si="9"/>
        <v>0.30850436423684841</v>
      </c>
      <c r="V106" s="3">
        <v>6</v>
      </c>
      <c r="W106" s="12">
        <v>4</v>
      </c>
    </row>
    <row r="107" spans="1:23">
      <c r="A107" s="8" t="s">
        <v>191</v>
      </c>
      <c r="B107" s="10">
        <v>45846</v>
      </c>
      <c r="C107" s="10" t="str">
        <f>TEXT(SalesDataTable[[#This Row],[Order_Date]],"YYYY")</f>
        <v>2025</v>
      </c>
      <c r="D107" s="10" t="str">
        <f>TEXT(SalesDataTable[[#This Row],[Order_Date]],"MMM")</f>
        <v>Jul</v>
      </c>
      <c r="E107" t="str">
        <f t="shared" si="5"/>
        <v>Jul 2025</v>
      </c>
      <c r="F107" s="8" t="s">
        <v>44</v>
      </c>
      <c r="G107" s="8" t="s">
        <v>45</v>
      </c>
      <c r="H107" s="8" t="s">
        <v>120</v>
      </c>
      <c r="I107" s="8" t="s">
        <v>38</v>
      </c>
      <c r="J107" s="8" t="s">
        <v>186</v>
      </c>
      <c r="K107" s="8" t="s">
        <v>40</v>
      </c>
      <c r="L107" s="8" t="s">
        <v>67</v>
      </c>
      <c r="M107" s="8" t="s">
        <v>85</v>
      </c>
      <c r="N107" s="3">
        <v>5</v>
      </c>
      <c r="O107" s="15">
        <v>188.34</v>
      </c>
      <c r="P107" s="17">
        <v>0</v>
      </c>
      <c r="Q107" s="15">
        <v>119.18</v>
      </c>
      <c r="R107" s="15">
        <f t="shared" si="6"/>
        <v>941.7</v>
      </c>
      <c r="S107" s="15">
        <f t="shared" si="7"/>
        <v>595.90000000000009</v>
      </c>
      <c r="T107" s="15">
        <f t="shared" si="8"/>
        <v>345.79999999999995</v>
      </c>
      <c r="U107" s="17">
        <f t="shared" si="9"/>
        <v>0.36720824041626837</v>
      </c>
      <c r="V107" s="3">
        <v>3</v>
      </c>
      <c r="W107" s="12">
        <v>4</v>
      </c>
    </row>
    <row r="108" spans="1:23">
      <c r="A108" s="8" t="s">
        <v>192</v>
      </c>
      <c r="B108" s="10">
        <v>45822</v>
      </c>
      <c r="C108" s="10" t="str">
        <f>TEXT(SalesDataTable[[#This Row],[Order_Date]],"YYYY")</f>
        <v>2025</v>
      </c>
      <c r="D108" s="10" t="str">
        <f>TEXT(SalesDataTable[[#This Row],[Order_Date]],"MMM")</f>
        <v>Jun</v>
      </c>
      <c r="E108" t="str">
        <f t="shared" si="5"/>
        <v>Jun 2025</v>
      </c>
      <c r="F108" s="8" t="s">
        <v>35</v>
      </c>
      <c r="G108" s="8" t="s">
        <v>36</v>
      </c>
      <c r="H108" s="8" t="s">
        <v>37</v>
      </c>
      <c r="I108" s="8" t="s">
        <v>47</v>
      </c>
      <c r="J108" s="8" t="s">
        <v>48</v>
      </c>
      <c r="K108" s="8" t="s">
        <v>40</v>
      </c>
      <c r="L108" s="8" t="s">
        <v>67</v>
      </c>
      <c r="M108" s="8" t="s">
        <v>68</v>
      </c>
      <c r="N108" s="3">
        <v>12</v>
      </c>
      <c r="O108" s="15">
        <v>21.95</v>
      </c>
      <c r="P108" s="17">
        <v>0.1</v>
      </c>
      <c r="Q108" s="15">
        <v>10.91</v>
      </c>
      <c r="R108" s="15">
        <f t="shared" si="6"/>
        <v>237.05999999999997</v>
      </c>
      <c r="S108" s="15">
        <f t="shared" si="7"/>
        <v>130.92000000000002</v>
      </c>
      <c r="T108" s="15">
        <f t="shared" si="8"/>
        <v>106.13999999999996</v>
      </c>
      <c r="U108" s="17">
        <f t="shared" si="9"/>
        <v>0.4477347506960262</v>
      </c>
      <c r="V108" s="3">
        <v>6</v>
      </c>
      <c r="W108" s="12">
        <v>5</v>
      </c>
    </row>
    <row r="109" spans="1:23">
      <c r="A109" s="8" t="s">
        <v>193</v>
      </c>
      <c r="B109" s="10">
        <v>45880</v>
      </c>
      <c r="C109" s="10" t="str">
        <f>TEXT(SalesDataTable[[#This Row],[Order_Date]],"YYYY")</f>
        <v>2025</v>
      </c>
      <c r="D109" s="10" t="str">
        <f>TEXT(SalesDataTable[[#This Row],[Order_Date]],"MMM")</f>
        <v>Aug</v>
      </c>
      <c r="E109" t="str">
        <f t="shared" si="5"/>
        <v>Aug 2025</v>
      </c>
      <c r="F109" s="8" t="s">
        <v>35</v>
      </c>
      <c r="G109" s="8" t="s">
        <v>63</v>
      </c>
      <c r="H109" s="8" t="s">
        <v>98</v>
      </c>
      <c r="I109" s="8" t="s">
        <v>54</v>
      </c>
      <c r="J109" s="8" t="s">
        <v>96</v>
      </c>
      <c r="K109" s="8" t="s">
        <v>40</v>
      </c>
      <c r="L109" s="8" t="s">
        <v>76</v>
      </c>
      <c r="M109" s="8" t="s">
        <v>42</v>
      </c>
      <c r="N109" s="3">
        <v>25</v>
      </c>
      <c r="O109" s="15">
        <v>50.37</v>
      </c>
      <c r="P109" s="17">
        <v>0</v>
      </c>
      <c r="Q109" s="15">
        <v>30.03</v>
      </c>
      <c r="R109" s="15">
        <f t="shared" si="6"/>
        <v>1259.25</v>
      </c>
      <c r="S109" s="15">
        <f t="shared" si="7"/>
        <v>750.75</v>
      </c>
      <c r="T109" s="15">
        <f t="shared" si="8"/>
        <v>508.5</v>
      </c>
      <c r="U109" s="17">
        <f t="shared" si="9"/>
        <v>0.4038117927337701</v>
      </c>
      <c r="V109" s="3">
        <v>8</v>
      </c>
      <c r="W109" s="12">
        <v>3</v>
      </c>
    </row>
    <row r="110" spans="1:23">
      <c r="A110" s="8" t="s">
        <v>194</v>
      </c>
      <c r="B110" s="10">
        <v>45692</v>
      </c>
      <c r="C110" s="10" t="str">
        <f>TEXT(SalesDataTable[[#This Row],[Order_Date]],"YYYY")</f>
        <v>2025</v>
      </c>
      <c r="D110" s="10" t="str">
        <f>TEXT(SalesDataTable[[#This Row],[Order_Date]],"MMM")</f>
        <v>Feb</v>
      </c>
      <c r="E110" t="str">
        <f t="shared" si="5"/>
        <v>Feb 2025</v>
      </c>
      <c r="F110" s="8" t="s">
        <v>44</v>
      </c>
      <c r="G110" s="8" t="s">
        <v>82</v>
      </c>
      <c r="H110" s="8" t="s">
        <v>83</v>
      </c>
      <c r="I110" s="8" t="s">
        <v>47</v>
      </c>
      <c r="J110" s="8" t="s">
        <v>137</v>
      </c>
      <c r="K110" s="8" t="s">
        <v>49</v>
      </c>
      <c r="L110" s="8" t="s">
        <v>50</v>
      </c>
      <c r="M110" s="8" t="s">
        <v>51</v>
      </c>
      <c r="N110" s="3">
        <v>8</v>
      </c>
      <c r="O110" s="15">
        <v>60.98</v>
      </c>
      <c r="P110" s="17">
        <v>0.1</v>
      </c>
      <c r="Q110" s="15">
        <v>31.34</v>
      </c>
      <c r="R110" s="15">
        <f t="shared" si="6"/>
        <v>439.05599999999998</v>
      </c>
      <c r="S110" s="15">
        <f t="shared" si="7"/>
        <v>250.72</v>
      </c>
      <c r="T110" s="15">
        <f t="shared" si="8"/>
        <v>188.33599999999998</v>
      </c>
      <c r="U110" s="17">
        <f t="shared" si="9"/>
        <v>0.42895667067526694</v>
      </c>
      <c r="V110" s="3">
        <v>3</v>
      </c>
      <c r="W110" s="12">
        <v>4</v>
      </c>
    </row>
    <row r="111" spans="1:23">
      <c r="A111" s="8" t="s">
        <v>195</v>
      </c>
      <c r="B111" s="10">
        <v>45861</v>
      </c>
      <c r="C111" s="10" t="str">
        <f>TEXT(SalesDataTable[[#This Row],[Order_Date]],"YYYY")</f>
        <v>2025</v>
      </c>
      <c r="D111" s="10" t="str">
        <f>TEXT(SalesDataTable[[#This Row],[Order_Date]],"MMM")</f>
        <v>Jul</v>
      </c>
      <c r="E111" t="str">
        <f t="shared" si="5"/>
        <v>Jul 2025</v>
      </c>
      <c r="F111" s="8" t="s">
        <v>44</v>
      </c>
      <c r="G111" s="8" t="s">
        <v>63</v>
      </c>
      <c r="H111" s="8" t="s">
        <v>98</v>
      </c>
      <c r="I111" s="8" t="s">
        <v>65</v>
      </c>
      <c r="J111" s="8" t="s">
        <v>75</v>
      </c>
      <c r="K111" s="8" t="s">
        <v>40</v>
      </c>
      <c r="L111" s="8" t="s">
        <v>67</v>
      </c>
      <c r="M111" s="8" t="s">
        <v>42</v>
      </c>
      <c r="N111" s="3">
        <v>5</v>
      </c>
      <c r="O111" s="15">
        <v>11.49</v>
      </c>
      <c r="P111" s="17">
        <v>0.05</v>
      </c>
      <c r="Q111" s="15">
        <v>6.25</v>
      </c>
      <c r="R111" s="15">
        <f t="shared" si="6"/>
        <v>54.577500000000001</v>
      </c>
      <c r="S111" s="15">
        <f t="shared" si="7"/>
        <v>31.25</v>
      </c>
      <c r="T111" s="15">
        <f t="shared" si="8"/>
        <v>23.327500000000001</v>
      </c>
      <c r="U111" s="17">
        <f t="shared" si="9"/>
        <v>0.42741972424533919</v>
      </c>
      <c r="V111" s="3">
        <v>5</v>
      </c>
      <c r="W111" s="12">
        <v>5</v>
      </c>
    </row>
    <row r="112" spans="1:23">
      <c r="A112" s="8" t="s">
        <v>196</v>
      </c>
      <c r="B112" s="10">
        <v>45909</v>
      </c>
      <c r="C112" s="10" t="str">
        <f>TEXT(SalesDataTable[[#This Row],[Order_Date]],"YYYY")</f>
        <v>2025</v>
      </c>
      <c r="D112" s="10" t="str">
        <f>TEXT(SalesDataTable[[#This Row],[Order_Date]],"MMM")</f>
        <v>Sep</v>
      </c>
      <c r="E112" t="str">
        <f t="shared" si="5"/>
        <v>Sep 2025</v>
      </c>
      <c r="F112" s="8" t="s">
        <v>58</v>
      </c>
      <c r="G112" s="8" t="s">
        <v>82</v>
      </c>
      <c r="H112" s="8" t="s">
        <v>89</v>
      </c>
      <c r="I112" s="8" t="s">
        <v>65</v>
      </c>
      <c r="J112" s="8" t="s">
        <v>75</v>
      </c>
      <c r="K112" s="8" t="s">
        <v>71</v>
      </c>
      <c r="L112" s="8" t="s">
        <v>67</v>
      </c>
      <c r="M112" s="8" t="s">
        <v>72</v>
      </c>
      <c r="N112" s="3">
        <v>23</v>
      </c>
      <c r="O112" s="15">
        <v>13.35</v>
      </c>
      <c r="P112" s="17">
        <v>0.1</v>
      </c>
      <c r="Q112" s="15">
        <v>7.01</v>
      </c>
      <c r="R112" s="15">
        <f t="shared" si="6"/>
        <v>276.34500000000003</v>
      </c>
      <c r="S112" s="15">
        <f t="shared" si="7"/>
        <v>161.22999999999999</v>
      </c>
      <c r="T112" s="15">
        <f t="shared" si="8"/>
        <v>115.11500000000004</v>
      </c>
      <c r="U112" s="17">
        <f t="shared" si="9"/>
        <v>0.41656263004577621</v>
      </c>
      <c r="V112" s="3">
        <v>2</v>
      </c>
      <c r="W112" s="12">
        <v>4</v>
      </c>
    </row>
    <row r="113" spans="1:23">
      <c r="A113" s="8" t="s">
        <v>197</v>
      </c>
      <c r="B113" s="10">
        <v>45806</v>
      </c>
      <c r="C113" s="10" t="str">
        <f>TEXT(SalesDataTable[[#This Row],[Order_Date]],"YYYY")</f>
        <v>2025</v>
      </c>
      <c r="D113" s="10" t="str">
        <f>TEXT(SalesDataTable[[#This Row],[Order_Date]],"MMM")</f>
        <v>May</v>
      </c>
      <c r="E113" t="str">
        <f t="shared" si="5"/>
        <v>May 2025</v>
      </c>
      <c r="F113" s="8" t="s">
        <v>44</v>
      </c>
      <c r="G113" s="8" t="s">
        <v>63</v>
      </c>
      <c r="H113" s="8" t="s">
        <v>64</v>
      </c>
      <c r="I113" s="8" t="s">
        <v>38</v>
      </c>
      <c r="J113" s="8" t="s">
        <v>39</v>
      </c>
      <c r="K113" s="8" t="s">
        <v>71</v>
      </c>
      <c r="L113" s="8" t="s">
        <v>41</v>
      </c>
      <c r="M113" s="8" t="s">
        <v>68</v>
      </c>
      <c r="N113" s="3">
        <v>3</v>
      </c>
      <c r="O113" s="15">
        <v>247.54</v>
      </c>
      <c r="P113" s="17">
        <v>0.05</v>
      </c>
      <c r="Q113" s="15">
        <v>169.84</v>
      </c>
      <c r="R113" s="15">
        <f t="shared" si="6"/>
        <v>705.48899999999992</v>
      </c>
      <c r="S113" s="15">
        <f t="shared" si="7"/>
        <v>509.52</v>
      </c>
      <c r="T113" s="15">
        <f t="shared" si="8"/>
        <v>195.96899999999994</v>
      </c>
      <c r="U113" s="17">
        <f t="shared" si="9"/>
        <v>0.27777754153502032</v>
      </c>
      <c r="V113" s="3">
        <v>6</v>
      </c>
      <c r="W113" s="12">
        <v>4</v>
      </c>
    </row>
    <row r="114" spans="1:23">
      <c r="A114" s="8" t="s">
        <v>198</v>
      </c>
      <c r="B114" s="10">
        <v>45940</v>
      </c>
      <c r="C114" s="10" t="str">
        <f>TEXT(SalesDataTable[[#This Row],[Order_Date]],"YYYY")</f>
        <v>2025</v>
      </c>
      <c r="D114" s="10" t="str">
        <f>TEXT(SalesDataTable[[#This Row],[Order_Date]],"MMM")</f>
        <v>Oct</v>
      </c>
      <c r="E114" t="str">
        <f t="shared" si="5"/>
        <v>Oct 2025</v>
      </c>
      <c r="F114" s="8" t="s">
        <v>58</v>
      </c>
      <c r="G114" s="8" t="s">
        <v>82</v>
      </c>
      <c r="H114" s="8" t="s">
        <v>83</v>
      </c>
      <c r="I114" s="8" t="s">
        <v>54</v>
      </c>
      <c r="J114" s="8" t="s">
        <v>96</v>
      </c>
      <c r="K114" s="8" t="s">
        <v>40</v>
      </c>
      <c r="L114" s="8" t="s">
        <v>67</v>
      </c>
      <c r="M114" s="8" t="s">
        <v>42</v>
      </c>
      <c r="N114" s="3">
        <v>15</v>
      </c>
      <c r="O114" s="15">
        <v>51.32</v>
      </c>
      <c r="P114" s="17">
        <v>0</v>
      </c>
      <c r="Q114" s="15">
        <v>29.45</v>
      </c>
      <c r="R114" s="15">
        <f t="shared" si="6"/>
        <v>769.8</v>
      </c>
      <c r="S114" s="15">
        <f t="shared" si="7"/>
        <v>441.75</v>
      </c>
      <c r="T114" s="15">
        <f t="shared" si="8"/>
        <v>328.04999999999995</v>
      </c>
      <c r="U114" s="17">
        <f t="shared" si="9"/>
        <v>0.4261496492595479</v>
      </c>
      <c r="V114" s="3">
        <v>6</v>
      </c>
      <c r="W114" s="12">
        <v>5</v>
      </c>
    </row>
    <row r="115" spans="1:23">
      <c r="A115" s="8" t="s">
        <v>199</v>
      </c>
      <c r="B115" s="10">
        <v>45888</v>
      </c>
      <c r="C115" s="10" t="str">
        <f>TEXT(SalesDataTable[[#This Row],[Order_Date]],"YYYY")</f>
        <v>2025</v>
      </c>
      <c r="D115" s="10" t="str">
        <f>TEXT(SalesDataTable[[#This Row],[Order_Date]],"MMM")</f>
        <v>Aug</v>
      </c>
      <c r="E115" t="str">
        <f t="shared" si="5"/>
        <v>Aug 2025</v>
      </c>
      <c r="F115" s="8" t="s">
        <v>35</v>
      </c>
      <c r="G115" s="8" t="s">
        <v>45</v>
      </c>
      <c r="H115" s="8" t="s">
        <v>74</v>
      </c>
      <c r="I115" s="8" t="s">
        <v>47</v>
      </c>
      <c r="J115" s="8" t="s">
        <v>78</v>
      </c>
      <c r="K115" s="8" t="s">
        <v>49</v>
      </c>
      <c r="L115" s="8" t="s">
        <v>50</v>
      </c>
      <c r="M115" s="8" t="s">
        <v>68</v>
      </c>
      <c r="N115" s="3">
        <v>7</v>
      </c>
      <c r="O115" s="15">
        <v>45.48</v>
      </c>
      <c r="P115" s="17">
        <v>0.1</v>
      </c>
      <c r="Q115" s="15">
        <v>28.59</v>
      </c>
      <c r="R115" s="15">
        <f t="shared" si="6"/>
        <v>286.52399999999994</v>
      </c>
      <c r="S115" s="15">
        <f t="shared" si="7"/>
        <v>200.13</v>
      </c>
      <c r="T115" s="15">
        <f t="shared" si="8"/>
        <v>86.393999999999949</v>
      </c>
      <c r="U115" s="17">
        <f t="shared" si="9"/>
        <v>0.30152447962474338</v>
      </c>
      <c r="V115" s="3">
        <v>9</v>
      </c>
      <c r="W115" s="12">
        <v>4</v>
      </c>
    </row>
    <row r="116" spans="1:23">
      <c r="A116" s="8" t="s">
        <v>200</v>
      </c>
      <c r="B116" s="10">
        <v>45742</v>
      </c>
      <c r="C116" s="10" t="str">
        <f>TEXT(SalesDataTable[[#This Row],[Order_Date]],"YYYY")</f>
        <v>2025</v>
      </c>
      <c r="D116" s="10" t="str">
        <f>TEXT(SalesDataTable[[#This Row],[Order_Date]],"MMM")</f>
        <v>Mar</v>
      </c>
      <c r="E116" t="str">
        <f t="shared" si="5"/>
        <v>Mar 2025</v>
      </c>
      <c r="F116" s="8" t="s">
        <v>58</v>
      </c>
      <c r="G116" s="8" t="s">
        <v>82</v>
      </c>
      <c r="H116" s="8" t="s">
        <v>103</v>
      </c>
      <c r="I116" s="8" t="s">
        <v>54</v>
      </c>
      <c r="J116" s="8" t="s">
        <v>70</v>
      </c>
      <c r="K116" s="8" t="s">
        <v>40</v>
      </c>
      <c r="L116" s="8" t="s">
        <v>76</v>
      </c>
      <c r="M116" s="8" t="s">
        <v>72</v>
      </c>
      <c r="N116" s="3">
        <v>10</v>
      </c>
      <c r="O116" s="15">
        <v>61.31</v>
      </c>
      <c r="P116" s="17">
        <v>0</v>
      </c>
      <c r="Q116" s="15">
        <v>40.770000000000003</v>
      </c>
      <c r="R116" s="15">
        <f t="shared" si="6"/>
        <v>613.1</v>
      </c>
      <c r="S116" s="15">
        <f t="shared" si="7"/>
        <v>407.70000000000005</v>
      </c>
      <c r="T116" s="15">
        <f t="shared" si="8"/>
        <v>205.39999999999998</v>
      </c>
      <c r="U116" s="17">
        <f t="shared" si="9"/>
        <v>0.33501875713586687</v>
      </c>
      <c r="V116" s="3">
        <v>5</v>
      </c>
      <c r="W116" s="12">
        <v>5</v>
      </c>
    </row>
    <row r="117" spans="1:23">
      <c r="A117" s="8" t="s">
        <v>201</v>
      </c>
      <c r="B117" s="10">
        <v>45705</v>
      </c>
      <c r="C117" s="10" t="str">
        <f>TEXT(SalesDataTable[[#This Row],[Order_Date]],"YYYY")</f>
        <v>2025</v>
      </c>
      <c r="D117" s="10" t="str">
        <f>TEXT(SalesDataTable[[#This Row],[Order_Date]],"MMM")</f>
        <v>Feb</v>
      </c>
      <c r="E117" t="str">
        <f t="shared" si="5"/>
        <v>Feb 2025</v>
      </c>
      <c r="F117" s="8" t="s">
        <v>35</v>
      </c>
      <c r="G117" s="8" t="s">
        <v>82</v>
      </c>
      <c r="H117" s="8" t="s">
        <v>83</v>
      </c>
      <c r="I117" s="8" t="s">
        <v>54</v>
      </c>
      <c r="J117" s="8" t="s">
        <v>70</v>
      </c>
      <c r="K117" s="8" t="s">
        <v>40</v>
      </c>
      <c r="L117" s="8" t="s">
        <v>76</v>
      </c>
      <c r="M117" s="8" t="s">
        <v>42</v>
      </c>
      <c r="N117" s="3">
        <v>3</v>
      </c>
      <c r="O117" s="15">
        <v>70.3</v>
      </c>
      <c r="P117" s="17">
        <v>0</v>
      </c>
      <c r="Q117" s="15">
        <v>35.130000000000003</v>
      </c>
      <c r="R117" s="15">
        <f t="shared" si="6"/>
        <v>210.89999999999998</v>
      </c>
      <c r="S117" s="15">
        <f t="shared" si="7"/>
        <v>105.39000000000001</v>
      </c>
      <c r="T117" s="15">
        <f t="shared" si="8"/>
        <v>105.50999999999996</v>
      </c>
      <c r="U117" s="17">
        <f t="shared" si="9"/>
        <v>0.50028449502133698</v>
      </c>
      <c r="V117" s="3">
        <v>5</v>
      </c>
      <c r="W117" s="12">
        <v>5</v>
      </c>
    </row>
    <row r="118" spans="1:23">
      <c r="A118" s="8" t="s">
        <v>202</v>
      </c>
      <c r="B118" s="10">
        <v>45950</v>
      </c>
      <c r="C118" s="10" t="str">
        <f>TEXT(SalesDataTable[[#This Row],[Order_Date]],"YYYY")</f>
        <v>2025</v>
      </c>
      <c r="D118" s="10" t="str">
        <f>TEXT(SalesDataTable[[#This Row],[Order_Date]],"MMM")</f>
        <v>Oct</v>
      </c>
      <c r="E118" t="str">
        <f t="shared" si="5"/>
        <v>Oct 2025</v>
      </c>
      <c r="F118" s="8" t="s">
        <v>44</v>
      </c>
      <c r="G118" s="8" t="s">
        <v>45</v>
      </c>
      <c r="H118" s="8" t="s">
        <v>74</v>
      </c>
      <c r="I118" s="8" t="s">
        <v>38</v>
      </c>
      <c r="J118" s="8" t="s">
        <v>186</v>
      </c>
      <c r="K118" s="8" t="s">
        <v>49</v>
      </c>
      <c r="L118" s="8" t="s">
        <v>76</v>
      </c>
      <c r="M118" s="8" t="s">
        <v>56</v>
      </c>
      <c r="N118" s="3">
        <v>4</v>
      </c>
      <c r="O118" s="15">
        <v>188.48</v>
      </c>
      <c r="P118" s="17">
        <v>0</v>
      </c>
      <c r="Q118" s="15">
        <v>118.4</v>
      </c>
      <c r="R118" s="15">
        <f t="shared" si="6"/>
        <v>753.92</v>
      </c>
      <c r="S118" s="15">
        <f t="shared" si="7"/>
        <v>473.6</v>
      </c>
      <c r="T118" s="15">
        <f t="shared" si="8"/>
        <v>280.31999999999994</v>
      </c>
      <c r="U118" s="17">
        <f t="shared" si="9"/>
        <v>0.3718166383701188</v>
      </c>
      <c r="V118" s="3">
        <v>2</v>
      </c>
      <c r="W118" s="12">
        <v>5</v>
      </c>
    </row>
    <row r="119" spans="1:23">
      <c r="A119" s="8" t="s">
        <v>203</v>
      </c>
      <c r="B119" s="10">
        <v>45738</v>
      </c>
      <c r="C119" s="10" t="str">
        <f>TEXT(SalesDataTable[[#This Row],[Order_Date]],"YYYY")</f>
        <v>2025</v>
      </c>
      <c r="D119" s="10" t="str">
        <f>TEXT(SalesDataTable[[#This Row],[Order_Date]],"MMM")</f>
        <v>Mar</v>
      </c>
      <c r="E119" t="str">
        <f t="shared" si="5"/>
        <v>Mar 2025</v>
      </c>
      <c r="F119" s="8" t="s">
        <v>44</v>
      </c>
      <c r="G119" s="8" t="s">
        <v>45</v>
      </c>
      <c r="H119" s="8" t="s">
        <v>120</v>
      </c>
      <c r="I119" s="8" t="s">
        <v>47</v>
      </c>
      <c r="J119" s="8" t="s">
        <v>78</v>
      </c>
      <c r="K119" s="8" t="s">
        <v>40</v>
      </c>
      <c r="L119" s="8" t="s">
        <v>76</v>
      </c>
      <c r="M119" s="8" t="s">
        <v>51</v>
      </c>
      <c r="N119" s="3">
        <v>6</v>
      </c>
      <c r="O119" s="15">
        <v>50.16</v>
      </c>
      <c r="P119" s="17">
        <v>0.05</v>
      </c>
      <c r="Q119" s="15">
        <v>25.4</v>
      </c>
      <c r="R119" s="15">
        <f t="shared" si="6"/>
        <v>285.91199999999998</v>
      </c>
      <c r="S119" s="15">
        <f t="shared" si="7"/>
        <v>152.39999999999998</v>
      </c>
      <c r="T119" s="15">
        <f t="shared" si="8"/>
        <v>133.512</v>
      </c>
      <c r="U119" s="17">
        <f t="shared" si="9"/>
        <v>0.46696885755057504</v>
      </c>
      <c r="V119" s="3">
        <v>9</v>
      </c>
      <c r="W119" s="12">
        <v>3</v>
      </c>
    </row>
    <row r="120" spans="1:23">
      <c r="A120" s="8" t="s">
        <v>204</v>
      </c>
      <c r="B120" s="10">
        <v>45781</v>
      </c>
      <c r="C120" s="10" t="str">
        <f>TEXT(SalesDataTable[[#This Row],[Order_Date]],"YYYY")</f>
        <v>2025</v>
      </c>
      <c r="D120" s="10" t="str">
        <f>TEXT(SalesDataTable[[#This Row],[Order_Date]],"MMM")</f>
        <v>May</v>
      </c>
      <c r="E120" t="str">
        <f t="shared" si="5"/>
        <v>May 2025</v>
      </c>
      <c r="F120" s="8" t="s">
        <v>44</v>
      </c>
      <c r="G120" s="8" t="s">
        <v>45</v>
      </c>
      <c r="H120" s="8" t="s">
        <v>46</v>
      </c>
      <c r="I120" s="8" t="s">
        <v>65</v>
      </c>
      <c r="J120" s="8" t="s">
        <v>92</v>
      </c>
      <c r="K120" s="8" t="s">
        <v>40</v>
      </c>
      <c r="L120" s="8" t="s">
        <v>67</v>
      </c>
      <c r="M120" s="8" t="s">
        <v>42</v>
      </c>
      <c r="N120" s="3">
        <v>15</v>
      </c>
      <c r="O120" s="15">
        <v>17.18</v>
      </c>
      <c r="P120" s="17">
        <v>0</v>
      </c>
      <c r="Q120" s="15">
        <v>10.58</v>
      </c>
      <c r="R120" s="15">
        <f t="shared" si="6"/>
        <v>257.7</v>
      </c>
      <c r="S120" s="15">
        <f t="shared" si="7"/>
        <v>158.69999999999999</v>
      </c>
      <c r="T120" s="15">
        <f t="shared" si="8"/>
        <v>99</v>
      </c>
      <c r="U120" s="17">
        <f t="shared" si="9"/>
        <v>0.38416763678696159</v>
      </c>
      <c r="V120" s="3">
        <v>6</v>
      </c>
      <c r="W120" s="12">
        <v>5</v>
      </c>
    </row>
    <row r="121" spans="1:23">
      <c r="A121" s="8" t="s">
        <v>205</v>
      </c>
      <c r="B121" s="10">
        <v>45818</v>
      </c>
      <c r="C121" s="10" t="str">
        <f>TEXT(SalesDataTable[[#This Row],[Order_Date]],"YYYY")</f>
        <v>2025</v>
      </c>
      <c r="D121" s="10" t="str">
        <f>TEXT(SalesDataTable[[#This Row],[Order_Date]],"MMM")</f>
        <v>Jun</v>
      </c>
      <c r="E121" t="str">
        <f t="shared" si="5"/>
        <v>Jun 2025</v>
      </c>
      <c r="F121" s="8" t="s">
        <v>44</v>
      </c>
      <c r="G121" s="8" t="s">
        <v>82</v>
      </c>
      <c r="H121" s="8" t="s">
        <v>89</v>
      </c>
      <c r="I121" s="8" t="s">
        <v>47</v>
      </c>
      <c r="J121" s="8" t="s">
        <v>137</v>
      </c>
      <c r="K121" s="8" t="s">
        <v>71</v>
      </c>
      <c r="L121" s="8" t="s">
        <v>41</v>
      </c>
      <c r="M121" s="8" t="s">
        <v>72</v>
      </c>
      <c r="N121" s="3">
        <v>7</v>
      </c>
      <c r="O121" s="15">
        <v>55.62</v>
      </c>
      <c r="P121" s="17">
        <v>0</v>
      </c>
      <c r="Q121" s="15">
        <v>34.39</v>
      </c>
      <c r="R121" s="15">
        <f t="shared" si="6"/>
        <v>389.34</v>
      </c>
      <c r="S121" s="15">
        <f t="shared" si="7"/>
        <v>240.73000000000002</v>
      </c>
      <c r="T121" s="15">
        <f t="shared" si="8"/>
        <v>148.60999999999996</v>
      </c>
      <c r="U121" s="17">
        <f t="shared" si="9"/>
        <v>0.38169723121179422</v>
      </c>
      <c r="V121" s="3">
        <v>6</v>
      </c>
      <c r="W121" s="12">
        <v>3</v>
      </c>
    </row>
    <row r="122" spans="1:23">
      <c r="A122" s="8" t="s">
        <v>206</v>
      </c>
      <c r="B122" s="10">
        <v>45802</v>
      </c>
      <c r="C122" s="10" t="str">
        <f>TEXT(SalesDataTable[[#This Row],[Order_Date]],"YYYY")</f>
        <v>2025</v>
      </c>
      <c r="D122" s="10" t="str">
        <f>TEXT(SalesDataTable[[#This Row],[Order_Date]],"MMM")</f>
        <v>May</v>
      </c>
      <c r="E122" t="str">
        <f t="shared" si="5"/>
        <v>May 2025</v>
      </c>
      <c r="F122" s="8" t="s">
        <v>44</v>
      </c>
      <c r="G122" s="8" t="s">
        <v>45</v>
      </c>
      <c r="H122" s="8" t="s">
        <v>74</v>
      </c>
      <c r="I122" s="8" t="s">
        <v>54</v>
      </c>
      <c r="J122" s="8" t="s">
        <v>130</v>
      </c>
      <c r="K122" s="8" t="s">
        <v>40</v>
      </c>
      <c r="L122" s="8" t="s">
        <v>41</v>
      </c>
      <c r="M122" s="8" t="s">
        <v>56</v>
      </c>
      <c r="N122" s="3">
        <v>6</v>
      </c>
      <c r="O122" s="15">
        <v>43.77</v>
      </c>
      <c r="P122" s="17">
        <v>0.1</v>
      </c>
      <c r="Q122" s="15">
        <v>24.87</v>
      </c>
      <c r="R122" s="15">
        <f t="shared" si="6"/>
        <v>236.358</v>
      </c>
      <c r="S122" s="15">
        <f t="shared" si="7"/>
        <v>149.22</v>
      </c>
      <c r="T122" s="15">
        <f t="shared" si="8"/>
        <v>87.138000000000005</v>
      </c>
      <c r="U122" s="17">
        <f t="shared" si="9"/>
        <v>0.36866956058182926</v>
      </c>
      <c r="V122" s="3">
        <v>6</v>
      </c>
      <c r="W122" s="12">
        <v>3</v>
      </c>
    </row>
    <row r="123" spans="1:23">
      <c r="A123" s="8" t="s">
        <v>207</v>
      </c>
      <c r="B123" s="10">
        <v>45684</v>
      </c>
      <c r="C123" s="10" t="str">
        <f>TEXT(SalesDataTable[[#This Row],[Order_Date]],"YYYY")</f>
        <v>2025</v>
      </c>
      <c r="D123" s="10" t="str">
        <f>TEXT(SalesDataTable[[#This Row],[Order_Date]],"MMM")</f>
        <v>Jan</v>
      </c>
      <c r="E123" t="str">
        <f t="shared" si="5"/>
        <v>Jan 2025</v>
      </c>
      <c r="F123" s="8" t="s">
        <v>44</v>
      </c>
      <c r="G123" s="8" t="s">
        <v>82</v>
      </c>
      <c r="H123" s="8" t="s">
        <v>103</v>
      </c>
      <c r="I123" s="8" t="s">
        <v>47</v>
      </c>
      <c r="J123" s="8" t="s">
        <v>105</v>
      </c>
      <c r="K123" s="8" t="s">
        <v>40</v>
      </c>
      <c r="L123" s="8" t="s">
        <v>76</v>
      </c>
      <c r="M123" s="8" t="s">
        <v>42</v>
      </c>
      <c r="N123" s="3">
        <v>11</v>
      </c>
      <c r="O123" s="15">
        <v>36.21</v>
      </c>
      <c r="P123" s="17">
        <v>0</v>
      </c>
      <c r="Q123" s="15">
        <v>18.809999999999999</v>
      </c>
      <c r="R123" s="15">
        <f t="shared" si="6"/>
        <v>398.31</v>
      </c>
      <c r="S123" s="15">
        <f t="shared" si="7"/>
        <v>206.91</v>
      </c>
      <c r="T123" s="15">
        <f t="shared" si="8"/>
        <v>191.4</v>
      </c>
      <c r="U123" s="17">
        <f t="shared" si="9"/>
        <v>0.48053024026512015</v>
      </c>
      <c r="V123" s="3">
        <v>6</v>
      </c>
      <c r="W123" s="12">
        <v>5</v>
      </c>
    </row>
    <row r="124" spans="1:23">
      <c r="A124" s="8" t="s">
        <v>208</v>
      </c>
      <c r="B124" s="10">
        <v>45831</v>
      </c>
      <c r="C124" s="10" t="str">
        <f>TEXT(SalesDataTable[[#This Row],[Order_Date]],"YYYY")</f>
        <v>2025</v>
      </c>
      <c r="D124" s="10" t="str">
        <f>TEXT(SalesDataTable[[#This Row],[Order_Date]],"MMM")</f>
        <v>Jun</v>
      </c>
      <c r="E124" t="str">
        <f t="shared" si="5"/>
        <v>Jun 2025</v>
      </c>
      <c r="F124" s="8" t="s">
        <v>44</v>
      </c>
      <c r="G124" s="8" t="s">
        <v>63</v>
      </c>
      <c r="H124" s="8" t="s">
        <v>64</v>
      </c>
      <c r="I124" s="8" t="s">
        <v>65</v>
      </c>
      <c r="J124" s="8" t="s">
        <v>87</v>
      </c>
      <c r="K124" s="8" t="s">
        <v>71</v>
      </c>
      <c r="L124" s="8" t="s">
        <v>50</v>
      </c>
      <c r="M124" s="8" t="s">
        <v>51</v>
      </c>
      <c r="N124" s="3">
        <v>12</v>
      </c>
      <c r="O124" s="15">
        <v>10.77</v>
      </c>
      <c r="P124" s="17">
        <v>0</v>
      </c>
      <c r="Q124" s="15">
        <v>4.51</v>
      </c>
      <c r="R124" s="15">
        <f t="shared" si="6"/>
        <v>129.24</v>
      </c>
      <c r="S124" s="15">
        <f t="shared" si="7"/>
        <v>54.12</v>
      </c>
      <c r="T124" s="15">
        <f t="shared" si="8"/>
        <v>75.12</v>
      </c>
      <c r="U124" s="17">
        <f t="shared" si="9"/>
        <v>0.58124419684308259</v>
      </c>
      <c r="V124" s="3">
        <v>9</v>
      </c>
      <c r="W124" s="12">
        <v>4</v>
      </c>
    </row>
    <row r="125" spans="1:23">
      <c r="A125" s="8" t="s">
        <v>209</v>
      </c>
      <c r="B125" s="10">
        <v>45971</v>
      </c>
      <c r="C125" s="10" t="str">
        <f>TEXT(SalesDataTable[[#This Row],[Order_Date]],"YYYY")</f>
        <v>2025</v>
      </c>
      <c r="D125" s="10" t="str">
        <f>TEXT(SalesDataTable[[#This Row],[Order_Date]],"MMM")</f>
        <v>Nov</v>
      </c>
      <c r="E125" t="str">
        <f t="shared" si="5"/>
        <v>Nov 2025</v>
      </c>
      <c r="F125" s="8" t="s">
        <v>44</v>
      </c>
      <c r="G125" s="8" t="s">
        <v>63</v>
      </c>
      <c r="H125" s="8" t="s">
        <v>64</v>
      </c>
      <c r="I125" s="8" t="s">
        <v>47</v>
      </c>
      <c r="J125" s="8" t="s">
        <v>48</v>
      </c>
      <c r="K125" s="8" t="s">
        <v>71</v>
      </c>
      <c r="L125" s="8" t="s">
        <v>67</v>
      </c>
      <c r="M125" s="8" t="s">
        <v>51</v>
      </c>
      <c r="N125" s="3">
        <v>10</v>
      </c>
      <c r="O125" s="15">
        <v>21.25</v>
      </c>
      <c r="P125" s="17">
        <v>0.05</v>
      </c>
      <c r="Q125" s="15">
        <v>11.56</v>
      </c>
      <c r="R125" s="15">
        <f t="shared" si="6"/>
        <v>201.875</v>
      </c>
      <c r="S125" s="15">
        <f t="shared" si="7"/>
        <v>115.60000000000001</v>
      </c>
      <c r="T125" s="15">
        <f t="shared" si="8"/>
        <v>86.274999999999991</v>
      </c>
      <c r="U125" s="17">
        <f t="shared" si="9"/>
        <v>0.42736842105263156</v>
      </c>
      <c r="V125" s="3">
        <v>2</v>
      </c>
      <c r="W125" s="12">
        <v>5</v>
      </c>
    </row>
    <row r="126" spans="1:23">
      <c r="A126" s="8" t="s">
        <v>210</v>
      </c>
      <c r="B126" s="10">
        <v>45956</v>
      </c>
      <c r="C126" s="10" t="str">
        <f>TEXT(SalesDataTable[[#This Row],[Order_Date]],"YYYY")</f>
        <v>2025</v>
      </c>
      <c r="D126" s="10" t="str">
        <f>TEXT(SalesDataTable[[#This Row],[Order_Date]],"MMM")</f>
        <v>Oct</v>
      </c>
      <c r="E126" t="str">
        <f t="shared" si="5"/>
        <v>Oct 2025</v>
      </c>
      <c r="F126" s="8" t="s">
        <v>44</v>
      </c>
      <c r="G126" s="8" t="s">
        <v>63</v>
      </c>
      <c r="H126" s="8" t="s">
        <v>98</v>
      </c>
      <c r="I126" s="8" t="s">
        <v>54</v>
      </c>
      <c r="J126" s="8" t="s">
        <v>96</v>
      </c>
      <c r="K126" s="8" t="s">
        <v>71</v>
      </c>
      <c r="L126" s="8" t="s">
        <v>50</v>
      </c>
      <c r="M126" s="8" t="s">
        <v>51</v>
      </c>
      <c r="N126" s="3">
        <v>3</v>
      </c>
      <c r="O126" s="15">
        <v>49.36</v>
      </c>
      <c r="P126" s="17">
        <v>0.05</v>
      </c>
      <c r="Q126" s="15">
        <v>26.52</v>
      </c>
      <c r="R126" s="15">
        <f t="shared" si="6"/>
        <v>140.67599999999999</v>
      </c>
      <c r="S126" s="15">
        <f t="shared" si="7"/>
        <v>79.56</v>
      </c>
      <c r="T126" s="15">
        <f t="shared" si="8"/>
        <v>61.115999999999985</v>
      </c>
      <c r="U126" s="17">
        <f t="shared" si="9"/>
        <v>0.43444510790753216</v>
      </c>
      <c r="V126" s="3">
        <v>7</v>
      </c>
      <c r="W126" s="12">
        <v>4</v>
      </c>
    </row>
    <row r="127" spans="1:23">
      <c r="A127" s="8" t="s">
        <v>211</v>
      </c>
      <c r="B127" s="10">
        <v>46006</v>
      </c>
      <c r="C127" s="10" t="str">
        <f>TEXT(SalesDataTable[[#This Row],[Order_Date]],"YYYY")</f>
        <v>2025</v>
      </c>
      <c r="D127" s="10" t="str">
        <f>TEXT(SalesDataTable[[#This Row],[Order_Date]],"MMM")</f>
        <v>Dec</v>
      </c>
      <c r="E127" t="str">
        <f t="shared" si="5"/>
        <v>Dec 2025</v>
      </c>
      <c r="F127" s="8" t="s">
        <v>44</v>
      </c>
      <c r="G127" s="8" t="s">
        <v>82</v>
      </c>
      <c r="H127" s="8" t="s">
        <v>89</v>
      </c>
      <c r="I127" s="8" t="s">
        <v>47</v>
      </c>
      <c r="J127" s="8" t="s">
        <v>105</v>
      </c>
      <c r="K127" s="8" t="s">
        <v>40</v>
      </c>
      <c r="L127" s="8" t="s">
        <v>67</v>
      </c>
      <c r="M127" s="8" t="s">
        <v>68</v>
      </c>
      <c r="N127" s="3">
        <v>7</v>
      </c>
      <c r="O127" s="15">
        <v>36.82</v>
      </c>
      <c r="P127" s="17">
        <v>0.1</v>
      </c>
      <c r="Q127" s="15">
        <v>19.71</v>
      </c>
      <c r="R127" s="15">
        <f t="shared" si="6"/>
        <v>231.96600000000001</v>
      </c>
      <c r="S127" s="15">
        <f t="shared" si="7"/>
        <v>137.97</v>
      </c>
      <c r="T127" s="15">
        <f t="shared" si="8"/>
        <v>93.996000000000009</v>
      </c>
      <c r="U127" s="17">
        <f t="shared" si="9"/>
        <v>0.40521455730581207</v>
      </c>
      <c r="V127" s="3">
        <v>8</v>
      </c>
      <c r="W127" s="12">
        <v>5</v>
      </c>
    </row>
    <row r="128" spans="1:23">
      <c r="A128" s="8" t="s">
        <v>212</v>
      </c>
      <c r="B128" s="10">
        <v>45689</v>
      </c>
      <c r="C128" s="10" t="str">
        <f>TEXT(SalesDataTable[[#This Row],[Order_Date]],"YYYY")</f>
        <v>2025</v>
      </c>
      <c r="D128" s="10" t="str">
        <f>TEXT(SalesDataTable[[#This Row],[Order_Date]],"MMM")</f>
        <v>Feb</v>
      </c>
      <c r="E128" t="str">
        <f t="shared" si="5"/>
        <v>Feb 2025</v>
      </c>
      <c r="F128" s="8" t="s">
        <v>44</v>
      </c>
      <c r="G128" s="8" t="s">
        <v>82</v>
      </c>
      <c r="H128" s="8" t="s">
        <v>83</v>
      </c>
      <c r="I128" s="8" t="s">
        <v>65</v>
      </c>
      <c r="J128" s="8" t="s">
        <v>66</v>
      </c>
      <c r="K128" s="8" t="s">
        <v>49</v>
      </c>
      <c r="L128" s="8" t="s">
        <v>67</v>
      </c>
      <c r="M128" s="8" t="s">
        <v>85</v>
      </c>
      <c r="N128" s="3">
        <v>7</v>
      </c>
      <c r="O128" s="15">
        <v>25.03</v>
      </c>
      <c r="P128" s="17">
        <v>0.05</v>
      </c>
      <c r="Q128" s="15">
        <v>14.07</v>
      </c>
      <c r="R128" s="15">
        <f t="shared" si="6"/>
        <v>166.4495</v>
      </c>
      <c r="S128" s="15">
        <f t="shared" si="7"/>
        <v>98.490000000000009</v>
      </c>
      <c r="T128" s="15">
        <f t="shared" si="8"/>
        <v>67.959499999999991</v>
      </c>
      <c r="U128" s="17">
        <f t="shared" si="9"/>
        <v>0.4082890005677397</v>
      </c>
      <c r="V128" s="3">
        <v>5</v>
      </c>
      <c r="W128" s="12">
        <v>5</v>
      </c>
    </row>
    <row r="129" spans="1:23">
      <c r="A129" s="8" t="s">
        <v>213</v>
      </c>
      <c r="B129" s="10">
        <v>45756</v>
      </c>
      <c r="C129" s="10" t="str">
        <f>TEXT(SalesDataTable[[#This Row],[Order_Date]],"YYYY")</f>
        <v>2025</v>
      </c>
      <c r="D129" s="10" t="str">
        <f>TEXT(SalesDataTable[[#This Row],[Order_Date]],"MMM")</f>
        <v>Apr</v>
      </c>
      <c r="E129" t="str">
        <f t="shared" si="5"/>
        <v>Apr 2025</v>
      </c>
      <c r="F129" s="8" t="s">
        <v>58</v>
      </c>
      <c r="G129" s="8" t="s">
        <v>82</v>
      </c>
      <c r="H129" s="8" t="s">
        <v>103</v>
      </c>
      <c r="I129" s="8" t="s">
        <v>47</v>
      </c>
      <c r="J129" s="8" t="s">
        <v>78</v>
      </c>
      <c r="K129" s="8" t="s">
        <v>49</v>
      </c>
      <c r="L129" s="8" t="s">
        <v>76</v>
      </c>
      <c r="M129" s="8" t="s">
        <v>51</v>
      </c>
      <c r="N129" s="3">
        <v>4</v>
      </c>
      <c r="O129" s="15">
        <v>47.33</v>
      </c>
      <c r="P129" s="17">
        <v>0.05</v>
      </c>
      <c r="Q129" s="15">
        <v>26.95</v>
      </c>
      <c r="R129" s="15">
        <f t="shared" si="6"/>
        <v>179.85399999999998</v>
      </c>
      <c r="S129" s="15">
        <f t="shared" si="7"/>
        <v>107.8</v>
      </c>
      <c r="T129" s="15">
        <f t="shared" si="8"/>
        <v>72.053999999999988</v>
      </c>
      <c r="U129" s="17">
        <f t="shared" si="9"/>
        <v>0.40062495134942783</v>
      </c>
      <c r="V129" s="3">
        <v>9</v>
      </c>
      <c r="W129" s="12">
        <v>5</v>
      </c>
    </row>
    <row r="130" spans="1:23">
      <c r="A130" s="8" t="s">
        <v>214</v>
      </c>
      <c r="B130" s="10">
        <v>45798</v>
      </c>
      <c r="C130" s="10" t="str">
        <f>TEXT(SalesDataTable[[#This Row],[Order_Date]],"YYYY")</f>
        <v>2025</v>
      </c>
      <c r="D130" s="10" t="str">
        <f>TEXT(SalesDataTable[[#This Row],[Order_Date]],"MMM")</f>
        <v>May</v>
      </c>
      <c r="E130" t="str">
        <f t="shared" ref="E130:E193" si="10">TEXT(B130,"mmm yyyy")</f>
        <v>May 2025</v>
      </c>
      <c r="F130" s="8" t="s">
        <v>44</v>
      </c>
      <c r="G130" s="8" t="s">
        <v>63</v>
      </c>
      <c r="H130" s="8" t="s">
        <v>64</v>
      </c>
      <c r="I130" s="8" t="s">
        <v>47</v>
      </c>
      <c r="J130" s="8" t="s">
        <v>137</v>
      </c>
      <c r="K130" s="8" t="s">
        <v>49</v>
      </c>
      <c r="L130" s="8" t="s">
        <v>76</v>
      </c>
      <c r="M130" s="8" t="s">
        <v>68</v>
      </c>
      <c r="N130" s="3">
        <v>5</v>
      </c>
      <c r="O130" s="15">
        <v>50.01</v>
      </c>
      <c r="P130" s="17">
        <v>0</v>
      </c>
      <c r="Q130" s="15">
        <v>34.33</v>
      </c>
      <c r="R130" s="15">
        <f t="shared" ref="R130:R193" si="11">N130*O130*(1-P130)</f>
        <v>250.04999999999998</v>
      </c>
      <c r="S130" s="15">
        <f t="shared" ref="S130:S193" si="12">N130*Q130</f>
        <v>171.64999999999998</v>
      </c>
      <c r="T130" s="15">
        <f t="shared" ref="T130:T193" si="13">R130-S130</f>
        <v>78.400000000000006</v>
      </c>
      <c r="U130" s="17">
        <f t="shared" ref="U130:U193" si="14">IFERROR(T130/R130,0)</f>
        <v>0.31353729254149176</v>
      </c>
      <c r="V130" s="3">
        <v>8</v>
      </c>
      <c r="W130" s="12">
        <v>5</v>
      </c>
    </row>
    <row r="131" spans="1:23">
      <c r="A131" s="8" t="s">
        <v>215</v>
      </c>
      <c r="B131" s="10">
        <v>45903</v>
      </c>
      <c r="C131" s="10" t="str">
        <f>TEXT(SalesDataTable[[#This Row],[Order_Date]],"YYYY")</f>
        <v>2025</v>
      </c>
      <c r="D131" s="10" t="str">
        <f>TEXT(SalesDataTable[[#This Row],[Order_Date]],"MMM")</f>
        <v>Sep</v>
      </c>
      <c r="E131" t="str">
        <f t="shared" si="10"/>
        <v>Sep 2025</v>
      </c>
      <c r="F131" s="8" t="s">
        <v>35</v>
      </c>
      <c r="G131" s="8" t="s">
        <v>82</v>
      </c>
      <c r="H131" s="8" t="s">
        <v>89</v>
      </c>
      <c r="I131" s="8" t="s">
        <v>54</v>
      </c>
      <c r="J131" s="8" t="s">
        <v>55</v>
      </c>
      <c r="K131" s="8" t="s">
        <v>49</v>
      </c>
      <c r="L131" s="8" t="s">
        <v>50</v>
      </c>
      <c r="M131" s="8" t="s">
        <v>72</v>
      </c>
      <c r="N131" s="3">
        <v>21</v>
      </c>
      <c r="O131" s="15">
        <v>79.72</v>
      </c>
      <c r="P131" s="17">
        <v>0</v>
      </c>
      <c r="Q131" s="15">
        <v>43.12</v>
      </c>
      <c r="R131" s="15">
        <f t="shared" si="11"/>
        <v>1674.12</v>
      </c>
      <c r="S131" s="15">
        <f t="shared" si="12"/>
        <v>905.52</v>
      </c>
      <c r="T131" s="15">
        <f t="shared" si="13"/>
        <v>768.59999999999991</v>
      </c>
      <c r="U131" s="17">
        <f t="shared" si="14"/>
        <v>0.45910687405920719</v>
      </c>
      <c r="V131" s="3">
        <v>9</v>
      </c>
      <c r="W131" s="12">
        <v>4</v>
      </c>
    </row>
    <row r="132" spans="1:23">
      <c r="A132" s="8" t="s">
        <v>216</v>
      </c>
      <c r="B132" s="10">
        <v>45777</v>
      </c>
      <c r="C132" s="10" t="str">
        <f>TEXT(SalesDataTable[[#This Row],[Order_Date]],"YYYY")</f>
        <v>2025</v>
      </c>
      <c r="D132" s="10" t="str">
        <f>TEXT(SalesDataTable[[#This Row],[Order_Date]],"MMM")</f>
        <v>Apr</v>
      </c>
      <c r="E132" t="str">
        <f t="shared" si="10"/>
        <v>Apr 2025</v>
      </c>
      <c r="F132" s="8" t="s">
        <v>35</v>
      </c>
      <c r="G132" s="8" t="s">
        <v>36</v>
      </c>
      <c r="H132" s="8" t="s">
        <v>37</v>
      </c>
      <c r="I132" s="8" t="s">
        <v>47</v>
      </c>
      <c r="J132" s="8" t="s">
        <v>137</v>
      </c>
      <c r="K132" s="8" t="s">
        <v>40</v>
      </c>
      <c r="L132" s="8" t="s">
        <v>41</v>
      </c>
      <c r="M132" s="8" t="s">
        <v>42</v>
      </c>
      <c r="N132" s="3">
        <v>3</v>
      </c>
      <c r="O132" s="15">
        <v>54.42</v>
      </c>
      <c r="P132" s="17">
        <v>0.15</v>
      </c>
      <c r="Q132" s="15">
        <v>34.229999999999997</v>
      </c>
      <c r="R132" s="15">
        <f t="shared" si="11"/>
        <v>138.77099999999999</v>
      </c>
      <c r="S132" s="15">
        <f t="shared" si="12"/>
        <v>102.69</v>
      </c>
      <c r="T132" s="15">
        <f t="shared" si="13"/>
        <v>36.080999999999989</v>
      </c>
      <c r="U132" s="17">
        <f t="shared" si="14"/>
        <v>0.26000389130293788</v>
      </c>
      <c r="V132" s="3">
        <v>8</v>
      </c>
      <c r="W132" s="12">
        <v>5</v>
      </c>
    </row>
    <row r="133" spans="1:23">
      <c r="A133" s="8" t="s">
        <v>217</v>
      </c>
      <c r="B133" s="10">
        <v>45805</v>
      </c>
      <c r="C133" s="10" t="str">
        <f>TEXT(SalesDataTable[[#This Row],[Order_Date]],"YYYY")</f>
        <v>2025</v>
      </c>
      <c r="D133" s="10" t="str">
        <f>TEXT(SalesDataTable[[#This Row],[Order_Date]],"MMM")</f>
        <v>May</v>
      </c>
      <c r="E133" t="str">
        <f t="shared" si="10"/>
        <v>May 2025</v>
      </c>
      <c r="F133" s="8" t="s">
        <v>44</v>
      </c>
      <c r="G133" s="8" t="s">
        <v>63</v>
      </c>
      <c r="H133" s="8" t="s">
        <v>124</v>
      </c>
      <c r="I133" s="8" t="s">
        <v>38</v>
      </c>
      <c r="J133" s="8" t="s">
        <v>80</v>
      </c>
      <c r="K133" s="8" t="s">
        <v>71</v>
      </c>
      <c r="L133" s="8" t="s">
        <v>41</v>
      </c>
      <c r="M133" s="8" t="s">
        <v>68</v>
      </c>
      <c r="N133" s="3">
        <v>7</v>
      </c>
      <c r="O133" s="15">
        <v>131.29</v>
      </c>
      <c r="P133" s="17">
        <v>0.15</v>
      </c>
      <c r="Q133" s="15">
        <v>71.11</v>
      </c>
      <c r="R133" s="15">
        <f t="shared" si="11"/>
        <v>781.17549999999994</v>
      </c>
      <c r="S133" s="15">
        <f t="shared" si="12"/>
        <v>497.77</v>
      </c>
      <c r="T133" s="15">
        <f t="shared" si="13"/>
        <v>283.40549999999996</v>
      </c>
      <c r="U133" s="17">
        <f t="shared" si="14"/>
        <v>0.36279363600112907</v>
      </c>
      <c r="V133" s="3">
        <v>7</v>
      </c>
      <c r="W133" s="12">
        <v>5</v>
      </c>
    </row>
    <row r="134" spans="1:23">
      <c r="A134" s="8" t="s">
        <v>218</v>
      </c>
      <c r="B134" s="10">
        <v>45753</v>
      </c>
      <c r="C134" s="10" t="str">
        <f>TEXT(SalesDataTable[[#This Row],[Order_Date]],"YYYY")</f>
        <v>2025</v>
      </c>
      <c r="D134" s="10" t="str">
        <f>TEXT(SalesDataTable[[#This Row],[Order_Date]],"MMM")</f>
        <v>Apr</v>
      </c>
      <c r="E134" t="str">
        <f t="shared" si="10"/>
        <v>Apr 2025</v>
      </c>
      <c r="F134" s="8" t="s">
        <v>44</v>
      </c>
      <c r="G134" s="8" t="s">
        <v>63</v>
      </c>
      <c r="H134" s="8" t="s">
        <v>64</v>
      </c>
      <c r="I134" s="8" t="s">
        <v>65</v>
      </c>
      <c r="J134" s="8" t="s">
        <v>75</v>
      </c>
      <c r="K134" s="8" t="s">
        <v>49</v>
      </c>
      <c r="L134" s="8" t="s">
        <v>67</v>
      </c>
      <c r="M134" s="8" t="s">
        <v>51</v>
      </c>
      <c r="N134" s="3">
        <v>19</v>
      </c>
      <c r="O134" s="15">
        <v>12.18</v>
      </c>
      <c r="P134" s="17">
        <v>0</v>
      </c>
      <c r="Q134" s="15">
        <v>6.9</v>
      </c>
      <c r="R134" s="15">
        <f t="shared" si="11"/>
        <v>231.42</v>
      </c>
      <c r="S134" s="15">
        <f t="shared" si="12"/>
        <v>131.1</v>
      </c>
      <c r="T134" s="15">
        <f t="shared" si="13"/>
        <v>100.32</v>
      </c>
      <c r="U134" s="17">
        <f t="shared" si="14"/>
        <v>0.43349753694581278</v>
      </c>
      <c r="V134" s="3">
        <v>9</v>
      </c>
      <c r="W134" s="12">
        <v>4</v>
      </c>
    </row>
    <row r="135" spans="1:23">
      <c r="A135" s="8" t="s">
        <v>219</v>
      </c>
      <c r="B135" s="10">
        <v>45756</v>
      </c>
      <c r="C135" s="10" t="str">
        <f>TEXT(SalesDataTable[[#This Row],[Order_Date]],"YYYY")</f>
        <v>2025</v>
      </c>
      <c r="D135" s="10" t="str">
        <f>TEXT(SalesDataTable[[#This Row],[Order_Date]],"MMM")</f>
        <v>Apr</v>
      </c>
      <c r="E135" t="str">
        <f t="shared" si="10"/>
        <v>Apr 2025</v>
      </c>
      <c r="F135" s="8" t="s">
        <v>35</v>
      </c>
      <c r="G135" s="8" t="s">
        <v>36</v>
      </c>
      <c r="H135" s="8" t="s">
        <v>53</v>
      </c>
      <c r="I135" s="8" t="s">
        <v>65</v>
      </c>
      <c r="J135" s="8" t="s">
        <v>87</v>
      </c>
      <c r="K135" s="8" t="s">
        <v>71</v>
      </c>
      <c r="L135" s="8" t="s">
        <v>41</v>
      </c>
      <c r="M135" s="8" t="s">
        <v>51</v>
      </c>
      <c r="N135" s="3">
        <v>12</v>
      </c>
      <c r="O135" s="15">
        <v>10.74</v>
      </c>
      <c r="P135" s="17">
        <v>0.1</v>
      </c>
      <c r="Q135" s="15">
        <v>4.55</v>
      </c>
      <c r="R135" s="15">
        <f t="shared" si="11"/>
        <v>115.992</v>
      </c>
      <c r="S135" s="15">
        <f t="shared" si="12"/>
        <v>54.599999999999994</v>
      </c>
      <c r="T135" s="15">
        <f t="shared" si="13"/>
        <v>61.39200000000001</v>
      </c>
      <c r="U135" s="17">
        <f t="shared" si="14"/>
        <v>0.52927788123318853</v>
      </c>
      <c r="V135" s="3">
        <v>3</v>
      </c>
      <c r="W135" s="12">
        <v>5</v>
      </c>
    </row>
    <row r="136" spans="1:23">
      <c r="A136" s="8" t="s">
        <v>220</v>
      </c>
      <c r="B136" s="10">
        <v>45985</v>
      </c>
      <c r="C136" s="10" t="str">
        <f>TEXT(SalesDataTable[[#This Row],[Order_Date]],"YYYY")</f>
        <v>2025</v>
      </c>
      <c r="D136" s="10" t="str">
        <f>TEXT(SalesDataTable[[#This Row],[Order_Date]],"MMM")</f>
        <v>Nov</v>
      </c>
      <c r="E136" t="str">
        <f t="shared" si="10"/>
        <v>Nov 2025</v>
      </c>
      <c r="F136" s="8" t="s">
        <v>44</v>
      </c>
      <c r="G136" s="8" t="s">
        <v>45</v>
      </c>
      <c r="H136" s="8" t="s">
        <v>120</v>
      </c>
      <c r="I136" s="8" t="s">
        <v>47</v>
      </c>
      <c r="J136" s="8" t="s">
        <v>105</v>
      </c>
      <c r="K136" s="8" t="s">
        <v>40</v>
      </c>
      <c r="L136" s="8" t="s">
        <v>50</v>
      </c>
      <c r="M136" s="8" t="s">
        <v>56</v>
      </c>
      <c r="N136" s="3">
        <v>6</v>
      </c>
      <c r="O136" s="15">
        <v>38.71</v>
      </c>
      <c r="P136" s="17">
        <v>0.05</v>
      </c>
      <c r="Q136" s="15">
        <v>18.420000000000002</v>
      </c>
      <c r="R136" s="15">
        <f t="shared" si="11"/>
        <v>220.64699999999999</v>
      </c>
      <c r="S136" s="15">
        <f t="shared" si="12"/>
        <v>110.52000000000001</v>
      </c>
      <c r="T136" s="15">
        <f t="shared" si="13"/>
        <v>110.12699999999998</v>
      </c>
      <c r="U136" s="17">
        <f t="shared" si="14"/>
        <v>0.49910943724591761</v>
      </c>
      <c r="V136" s="3">
        <v>8</v>
      </c>
      <c r="W136" s="12">
        <v>5</v>
      </c>
    </row>
    <row r="137" spans="1:23">
      <c r="A137" s="8" t="s">
        <v>221</v>
      </c>
      <c r="B137" s="10">
        <v>45826</v>
      </c>
      <c r="C137" s="10" t="str">
        <f>TEXT(SalesDataTable[[#This Row],[Order_Date]],"YYYY")</f>
        <v>2025</v>
      </c>
      <c r="D137" s="10" t="str">
        <f>TEXT(SalesDataTable[[#This Row],[Order_Date]],"MMM")</f>
        <v>Jun</v>
      </c>
      <c r="E137" t="str">
        <f t="shared" si="10"/>
        <v>Jun 2025</v>
      </c>
      <c r="F137" s="8" t="s">
        <v>44</v>
      </c>
      <c r="G137" s="8" t="s">
        <v>63</v>
      </c>
      <c r="H137" s="8" t="s">
        <v>98</v>
      </c>
      <c r="I137" s="8" t="s">
        <v>38</v>
      </c>
      <c r="J137" s="8" t="s">
        <v>80</v>
      </c>
      <c r="K137" s="8" t="s">
        <v>40</v>
      </c>
      <c r="L137" s="8" t="s">
        <v>50</v>
      </c>
      <c r="M137" s="8" t="s">
        <v>72</v>
      </c>
      <c r="N137" s="3">
        <v>2</v>
      </c>
      <c r="O137" s="15">
        <v>120.29</v>
      </c>
      <c r="P137" s="17">
        <v>0.1</v>
      </c>
      <c r="Q137" s="15">
        <v>70.92</v>
      </c>
      <c r="R137" s="15">
        <f t="shared" si="11"/>
        <v>216.52200000000002</v>
      </c>
      <c r="S137" s="15">
        <f t="shared" si="12"/>
        <v>141.84</v>
      </c>
      <c r="T137" s="15">
        <f t="shared" si="13"/>
        <v>74.682000000000016</v>
      </c>
      <c r="U137" s="17">
        <f t="shared" si="14"/>
        <v>0.34491645190788933</v>
      </c>
      <c r="V137" s="3">
        <v>5</v>
      </c>
      <c r="W137" s="12">
        <v>5</v>
      </c>
    </row>
    <row r="138" spans="1:23">
      <c r="A138" s="8" t="s">
        <v>222</v>
      </c>
      <c r="B138" s="10">
        <v>45985</v>
      </c>
      <c r="C138" s="10" t="str">
        <f>TEXT(SalesDataTable[[#This Row],[Order_Date]],"YYYY")</f>
        <v>2025</v>
      </c>
      <c r="D138" s="10" t="str">
        <f>TEXT(SalesDataTable[[#This Row],[Order_Date]],"MMM")</f>
        <v>Nov</v>
      </c>
      <c r="E138" t="str">
        <f t="shared" si="10"/>
        <v>Nov 2025</v>
      </c>
      <c r="F138" s="8" t="s">
        <v>44</v>
      </c>
      <c r="G138" s="8" t="s">
        <v>63</v>
      </c>
      <c r="H138" s="8" t="s">
        <v>124</v>
      </c>
      <c r="I138" s="8" t="s">
        <v>38</v>
      </c>
      <c r="J138" s="8" t="s">
        <v>39</v>
      </c>
      <c r="K138" s="8" t="s">
        <v>49</v>
      </c>
      <c r="L138" s="8" t="s">
        <v>67</v>
      </c>
      <c r="M138" s="8" t="s">
        <v>51</v>
      </c>
      <c r="N138" s="3">
        <v>6</v>
      </c>
      <c r="O138" s="15">
        <v>257.79000000000002</v>
      </c>
      <c r="P138" s="17">
        <v>0.05</v>
      </c>
      <c r="Q138" s="15">
        <v>171.34</v>
      </c>
      <c r="R138" s="15">
        <f t="shared" si="11"/>
        <v>1469.4030000000002</v>
      </c>
      <c r="S138" s="15">
        <f t="shared" si="12"/>
        <v>1028.04</v>
      </c>
      <c r="T138" s="15">
        <f t="shared" si="13"/>
        <v>441.36300000000028</v>
      </c>
      <c r="U138" s="17">
        <f t="shared" si="14"/>
        <v>0.30036892533906639</v>
      </c>
      <c r="V138" s="3">
        <v>9</v>
      </c>
      <c r="W138" s="12">
        <v>5</v>
      </c>
    </row>
    <row r="139" spans="1:23">
      <c r="A139" s="8" t="s">
        <v>223</v>
      </c>
      <c r="B139" s="10">
        <v>45769</v>
      </c>
      <c r="C139" s="10" t="str">
        <f>TEXT(SalesDataTable[[#This Row],[Order_Date]],"YYYY")</f>
        <v>2025</v>
      </c>
      <c r="D139" s="10" t="str">
        <f>TEXT(SalesDataTable[[#This Row],[Order_Date]],"MMM")</f>
        <v>Apr</v>
      </c>
      <c r="E139" t="str">
        <f t="shared" si="10"/>
        <v>Apr 2025</v>
      </c>
      <c r="F139" s="8" t="s">
        <v>44</v>
      </c>
      <c r="G139" s="8" t="s">
        <v>82</v>
      </c>
      <c r="H139" s="8" t="s">
        <v>83</v>
      </c>
      <c r="I139" s="8" t="s">
        <v>38</v>
      </c>
      <c r="J139" s="8" t="s">
        <v>80</v>
      </c>
      <c r="K139" s="8" t="s">
        <v>71</v>
      </c>
      <c r="L139" s="8" t="s">
        <v>76</v>
      </c>
      <c r="M139" s="8" t="s">
        <v>72</v>
      </c>
      <c r="N139" s="3">
        <v>2</v>
      </c>
      <c r="O139" s="15">
        <v>109.63</v>
      </c>
      <c r="P139" s="17">
        <v>0.05</v>
      </c>
      <c r="Q139" s="15">
        <v>75.569999999999993</v>
      </c>
      <c r="R139" s="15">
        <f t="shared" si="11"/>
        <v>208.29699999999997</v>
      </c>
      <c r="S139" s="15">
        <f t="shared" si="12"/>
        <v>151.13999999999999</v>
      </c>
      <c r="T139" s="15">
        <f t="shared" si="13"/>
        <v>57.156999999999982</v>
      </c>
      <c r="U139" s="17">
        <f t="shared" si="14"/>
        <v>0.27440145561385904</v>
      </c>
      <c r="V139" s="3">
        <v>9</v>
      </c>
      <c r="W139" s="12">
        <v>4</v>
      </c>
    </row>
    <row r="140" spans="1:23">
      <c r="A140" s="8" t="s">
        <v>224</v>
      </c>
      <c r="B140" s="10">
        <v>45825</v>
      </c>
      <c r="C140" s="10" t="str">
        <f>TEXT(SalesDataTable[[#This Row],[Order_Date]],"YYYY")</f>
        <v>2025</v>
      </c>
      <c r="D140" s="10" t="str">
        <f>TEXT(SalesDataTable[[#This Row],[Order_Date]],"MMM")</f>
        <v>Jun</v>
      </c>
      <c r="E140" t="str">
        <f t="shared" si="10"/>
        <v>Jun 2025</v>
      </c>
      <c r="F140" s="8" t="s">
        <v>44</v>
      </c>
      <c r="G140" s="8" t="s">
        <v>45</v>
      </c>
      <c r="H140" s="8" t="s">
        <v>46</v>
      </c>
      <c r="I140" s="8" t="s">
        <v>38</v>
      </c>
      <c r="J140" s="8" t="s">
        <v>186</v>
      </c>
      <c r="K140" s="8" t="s">
        <v>40</v>
      </c>
      <c r="L140" s="8" t="s">
        <v>41</v>
      </c>
      <c r="M140" s="8" t="s">
        <v>56</v>
      </c>
      <c r="N140" s="3">
        <v>3</v>
      </c>
      <c r="O140" s="15">
        <v>177.26</v>
      </c>
      <c r="P140" s="17">
        <v>0</v>
      </c>
      <c r="Q140" s="15">
        <v>114.21</v>
      </c>
      <c r="R140" s="15">
        <f t="shared" si="11"/>
        <v>531.78</v>
      </c>
      <c r="S140" s="15">
        <f t="shared" si="12"/>
        <v>342.63</v>
      </c>
      <c r="T140" s="15">
        <f t="shared" si="13"/>
        <v>189.14999999999998</v>
      </c>
      <c r="U140" s="17">
        <f t="shared" si="14"/>
        <v>0.35569220354281844</v>
      </c>
      <c r="V140" s="3">
        <v>8</v>
      </c>
      <c r="W140" s="12">
        <v>5</v>
      </c>
    </row>
    <row r="141" spans="1:23">
      <c r="A141" s="8" t="s">
        <v>225</v>
      </c>
      <c r="B141" s="10">
        <v>45815</v>
      </c>
      <c r="C141" s="10" t="str">
        <f>TEXT(SalesDataTable[[#This Row],[Order_Date]],"YYYY")</f>
        <v>2025</v>
      </c>
      <c r="D141" s="10" t="str">
        <f>TEXT(SalesDataTable[[#This Row],[Order_Date]],"MMM")</f>
        <v>Jun</v>
      </c>
      <c r="E141" t="str">
        <f t="shared" si="10"/>
        <v>Jun 2025</v>
      </c>
      <c r="F141" s="8" t="s">
        <v>35</v>
      </c>
      <c r="G141" s="8" t="s">
        <v>36</v>
      </c>
      <c r="H141" s="8" t="s">
        <v>53</v>
      </c>
      <c r="I141" s="8" t="s">
        <v>65</v>
      </c>
      <c r="J141" s="8" t="s">
        <v>75</v>
      </c>
      <c r="K141" s="8" t="s">
        <v>71</v>
      </c>
      <c r="L141" s="8" t="s">
        <v>41</v>
      </c>
      <c r="M141" s="8" t="s">
        <v>56</v>
      </c>
      <c r="N141" s="3">
        <v>13</v>
      </c>
      <c r="O141" s="15">
        <v>12.65</v>
      </c>
      <c r="P141" s="17">
        <v>0</v>
      </c>
      <c r="Q141" s="15">
        <v>6.54</v>
      </c>
      <c r="R141" s="15">
        <f t="shared" si="11"/>
        <v>164.45000000000002</v>
      </c>
      <c r="S141" s="15">
        <f t="shared" si="12"/>
        <v>85.02</v>
      </c>
      <c r="T141" s="15">
        <f t="shared" si="13"/>
        <v>79.430000000000021</v>
      </c>
      <c r="U141" s="17">
        <f t="shared" si="14"/>
        <v>0.48300395256917006</v>
      </c>
      <c r="V141" s="3">
        <v>2</v>
      </c>
      <c r="W141" s="12">
        <v>5</v>
      </c>
    </row>
    <row r="142" spans="1:23">
      <c r="A142" s="8" t="s">
        <v>226</v>
      </c>
      <c r="B142" s="10">
        <v>45899</v>
      </c>
      <c r="C142" s="10" t="str">
        <f>TEXT(SalesDataTable[[#This Row],[Order_Date]],"YYYY")</f>
        <v>2025</v>
      </c>
      <c r="D142" s="10" t="str">
        <f>TEXT(SalesDataTable[[#This Row],[Order_Date]],"MMM")</f>
        <v>Aug</v>
      </c>
      <c r="E142" t="str">
        <f t="shared" si="10"/>
        <v>Aug 2025</v>
      </c>
      <c r="F142" s="8" t="s">
        <v>58</v>
      </c>
      <c r="G142" s="8" t="s">
        <v>36</v>
      </c>
      <c r="H142" s="8" t="s">
        <v>53</v>
      </c>
      <c r="I142" s="8" t="s">
        <v>47</v>
      </c>
      <c r="J142" s="8" t="s">
        <v>78</v>
      </c>
      <c r="K142" s="8" t="s">
        <v>71</v>
      </c>
      <c r="L142" s="8" t="s">
        <v>67</v>
      </c>
      <c r="M142" s="8" t="s">
        <v>85</v>
      </c>
      <c r="N142" s="3">
        <v>7</v>
      </c>
      <c r="O142" s="15">
        <v>44.94</v>
      </c>
      <c r="P142" s="17">
        <v>0.05</v>
      </c>
      <c r="Q142" s="15">
        <v>28.8</v>
      </c>
      <c r="R142" s="15">
        <f t="shared" si="11"/>
        <v>298.851</v>
      </c>
      <c r="S142" s="15">
        <f t="shared" si="12"/>
        <v>201.6</v>
      </c>
      <c r="T142" s="15">
        <f t="shared" si="13"/>
        <v>97.251000000000005</v>
      </c>
      <c r="U142" s="17">
        <f t="shared" si="14"/>
        <v>0.32541634459981733</v>
      </c>
      <c r="V142" s="3">
        <v>2</v>
      </c>
      <c r="W142" s="12">
        <v>5</v>
      </c>
    </row>
    <row r="143" spans="1:23">
      <c r="A143" s="8" t="s">
        <v>227</v>
      </c>
      <c r="B143" s="10">
        <v>45996</v>
      </c>
      <c r="C143" s="10" t="str">
        <f>TEXT(SalesDataTable[[#This Row],[Order_Date]],"YYYY")</f>
        <v>2025</v>
      </c>
      <c r="D143" s="10" t="str">
        <f>TEXT(SalesDataTable[[#This Row],[Order_Date]],"MMM")</f>
        <v>Dec</v>
      </c>
      <c r="E143" t="str">
        <f t="shared" si="10"/>
        <v>Dec 2025</v>
      </c>
      <c r="F143" s="8" t="s">
        <v>44</v>
      </c>
      <c r="G143" s="8" t="s">
        <v>82</v>
      </c>
      <c r="H143" s="8" t="s">
        <v>83</v>
      </c>
      <c r="I143" s="8" t="s">
        <v>54</v>
      </c>
      <c r="J143" s="8" t="s">
        <v>96</v>
      </c>
      <c r="K143" s="8" t="s">
        <v>40</v>
      </c>
      <c r="L143" s="8" t="s">
        <v>50</v>
      </c>
      <c r="M143" s="8" t="s">
        <v>51</v>
      </c>
      <c r="N143" s="3">
        <v>9</v>
      </c>
      <c r="O143" s="15">
        <v>52.02</v>
      </c>
      <c r="P143" s="17">
        <v>0.2</v>
      </c>
      <c r="Q143" s="15">
        <v>29.15</v>
      </c>
      <c r="R143" s="15">
        <f t="shared" si="11"/>
        <v>374.54400000000004</v>
      </c>
      <c r="S143" s="15">
        <f t="shared" si="12"/>
        <v>262.34999999999997</v>
      </c>
      <c r="T143" s="15">
        <f t="shared" si="13"/>
        <v>112.19400000000007</v>
      </c>
      <c r="U143" s="17">
        <f t="shared" si="14"/>
        <v>0.29954825067281832</v>
      </c>
      <c r="V143" s="3">
        <v>8</v>
      </c>
      <c r="W143" s="12">
        <v>5</v>
      </c>
    </row>
    <row r="144" spans="1:23">
      <c r="A144" s="8" t="s">
        <v>228</v>
      </c>
      <c r="B144" s="10">
        <v>45936</v>
      </c>
      <c r="C144" s="10" t="str">
        <f>TEXT(SalesDataTable[[#This Row],[Order_Date]],"YYYY")</f>
        <v>2025</v>
      </c>
      <c r="D144" s="10" t="str">
        <f>TEXT(SalesDataTable[[#This Row],[Order_Date]],"MMM")</f>
        <v>Oct</v>
      </c>
      <c r="E144" t="str">
        <f t="shared" si="10"/>
        <v>Oct 2025</v>
      </c>
      <c r="F144" s="8" t="s">
        <v>44</v>
      </c>
      <c r="G144" s="8" t="s">
        <v>45</v>
      </c>
      <c r="H144" s="8" t="s">
        <v>74</v>
      </c>
      <c r="I144" s="8" t="s">
        <v>47</v>
      </c>
      <c r="J144" s="8" t="s">
        <v>78</v>
      </c>
      <c r="K144" s="8" t="s">
        <v>40</v>
      </c>
      <c r="L144" s="8" t="s">
        <v>76</v>
      </c>
      <c r="M144" s="8" t="s">
        <v>68</v>
      </c>
      <c r="N144" s="3">
        <v>12</v>
      </c>
      <c r="O144" s="15">
        <v>48.08</v>
      </c>
      <c r="P144" s="17">
        <v>0.1</v>
      </c>
      <c r="Q144" s="15">
        <v>24.98</v>
      </c>
      <c r="R144" s="15">
        <f t="shared" si="11"/>
        <v>519.26400000000001</v>
      </c>
      <c r="S144" s="15">
        <f t="shared" si="12"/>
        <v>299.76</v>
      </c>
      <c r="T144" s="15">
        <f t="shared" si="13"/>
        <v>219.50400000000002</v>
      </c>
      <c r="U144" s="17">
        <f t="shared" si="14"/>
        <v>0.42272139027546685</v>
      </c>
      <c r="V144" s="3">
        <v>1</v>
      </c>
      <c r="W144" s="12">
        <v>4</v>
      </c>
    </row>
    <row r="145" spans="1:23">
      <c r="A145" s="8" t="s">
        <v>229</v>
      </c>
      <c r="B145" s="10">
        <v>45692</v>
      </c>
      <c r="C145" s="10" t="str">
        <f>TEXT(SalesDataTable[[#This Row],[Order_Date]],"YYYY")</f>
        <v>2025</v>
      </c>
      <c r="D145" s="10" t="str">
        <f>TEXT(SalesDataTable[[#This Row],[Order_Date]],"MMM")</f>
        <v>Feb</v>
      </c>
      <c r="E145" t="str">
        <f t="shared" si="10"/>
        <v>Feb 2025</v>
      </c>
      <c r="F145" s="8" t="s">
        <v>44</v>
      </c>
      <c r="G145" s="8" t="s">
        <v>36</v>
      </c>
      <c r="H145" s="8" t="s">
        <v>61</v>
      </c>
      <c r="I145" s="8" t="s">
        <v>65</v>
      </c>
      <c r="J145" s="8" t="s">
        <v>75</v>
      </c>
      <c r="K145" s="8" t="s">
        <v>40</v>
      </c>
      <c r="L145" s="8" t="s">
        <v>67</v>
      </c>
      <c r="M145" s="8" t="s">
        <v>68</v>
      </c>
      <c r="N145" s="3">
        <v>19</v>
      </c>
      <c r="O145" s="15">
        <v>11.37</v>
      </c>
      <c r="P145" s="17">
        <v>0</v>
      </c>
      <c r="Q145" s="15">
        <v>6.88</v>
      </c>
      <c r="R145" s="15">
        <f t="shared" si="11"/>
        <v>216.02999999999997</v>
      </c>
      <c r="S145" s="15">
        <f t="shared" si="12"/>
        <v>130.72</v>
      </c>
      <c r="T145" s="15">
        <f t="shared" si="13"/>
        <v>85.309999999999974</v>
      </c>
      <c r="U145" s="17">
        <f t="shared" si="14"/>
        <v>0.39489885664028135</v>
      </c>
      <c r="V145" s="3">
        <v>9</v>
      </c>
      <c r="W145" s="12">
        <v>5</v>
      </c>
    </row>
    <row r="146" spans="1:23">
      <c r="A146" s="8" t="s">
        <v>230</v>
      </c>
      <c r="B146" s="10">
        <v>45777</v>
      </c>
      <c r="C146" s="10" t="str">
        <f>TEXT(SalesDataTable[[#This Row],[Order_Date]],"YYYY")</f>
        <v>2025</v>
      </c>
      <c r="D146" s="10" t="str">
        <f>TEXT(SalesDataTable[[#This Row],[Order_Date]],"MMM")</f>
        <v>Apr</v>
      </c>
      <c r="E146" t="str">
        <f t="shared" si="10"/>
        <v>Apr 2025</v>
      </c>
      <c r="F146" s="8" t="s">
        <v>58</v>
      </c>
      <c r="G146" s="8" t="s">
        <v>63</v>
      </c>
      <c r="H146" s="8" t="s">
        <v>98</v>
      </c>
      <c r="I146" s="8" t="s">
        <v>38</v>
      </c>
      <c r="J146" s="8" t="s">
        <v>59</v>
      </c>
      <c r="K146" s="8" t="s">
        <v>40</v>
      </c>
      <c r="L146" s="8" t="s">
        <v>50</v>
      </c>
      <c r="M146" s="8" t="s">
        <v>56</v>
      </c>
      <c r="N146" s="3">
        <v>5</v>
      </c>
      <c r="O146" s="15">
        <v>134.47</v>
      </c>
      <c r="P146" s="17">
        <v>0.05</v>
      </c>
      <c r="Q146" s="15">
        <v>90.82</v>
      </c>
      <c r="R146" s="15">
        <f t="shared" si="11"/>
        <v>638.73249999999996</v>
      </c>
      <c r="S146" s="15">
        <f t="shared" si="12"/>
        <v>454.09999999999997</v>
      </c>
      <c r="T146" s="15">
        <f t="shared" si="13"/>
        <v>184.63249999999999</v>
      </c>
      <c r="U146" s="17">
        <f t="shared" si="14"/>
        <v>0.28906075704618134</v>
      </c>
      <c r="V146" s="3">
        <v>3</v>
      </c>
      <c r="W146" s="12">
        <v>5</v>
      </c>
    </row>
    <row r="147" spans="1:23">
      <c r="A147" s="8" t="s">
        <v>231</v>
      </c>
      <c r="B147" s="10">
        <v>45876</v>
      </c>
      <c r="C147" s="10" t="str">
        <f>TEXT(SalesDataTable[[#This Row],[Order_Date]],"YYYY")</f>
        <v>2025</v>
      </c>
      <c r="D147" s="10" t="str">
        <f>TEXT(SalesDataTable[[#This Row],[Order_Date]],"MMM")</f>
        <v>Aug</v>
      </c>
      <c r="E147" t="str">
        <f t="shared" si="10"/>
        <v>Aug 2025</v>
      </c>
      <c r="F147" s="8" t="s">
        <v>44</v>
      </c>
      <c r="G147" s="8" t="s">
        <v>45</v>
      </c>
      <c r="H147" s="8" t="s">
        <v>46</v>
      </c>
      <c r="I147" s="8" t="s">
        <v>54</v>
      </c>
      <c r="J147" s="8" t="s">
        <v>130</v>
      </c>
      <c r="K147" s="8" t="s">
        <v>71</v>
      </c>
      <c r="L147" s="8" t="s">
        <v>67</v>
      </c>
      <c r="M147" s="8" t="s">
        <v>56</v>
      </c>
      <c r="N147" s="3">
        <v>6</v>
      </c>
      <c r="O147" s="15">
        <v>38.64</v>
      </c>
      <c r="P147" s="17">
        <v>0.05</v>
      </c>
      <c r="Q147" s="15">
        <v>22.79</v>
      </c>
      <c r="R147" s="15">
        <f t="shared" si="11"/>
        <v>220.24799999999999</v>
      </c>
      <c r="S147" s="15">
        <f t="shared" si="12"/>
        <v>136.74</v>
      </c>
      <c r="T147" s="15">
        <f t="shared" si="13"/>
        <v>83.507999999999981</v>
      </c>
      <c r="U147" s="17">
        <f t="shared" si="14"/>
        <v>0.37915440775852666</v>
      </c>
      <c r="V147" s="3">
        <v>4</v>
      </c>
      <c r="W147" s="12">
        <v>5</v>
      </c>
    </row>
    <row r="148" spans="1:23">
      <c r="A148" s="8" t="s">
        <v>232</v>
      </c>
      <c r="B148" s="10">
        <v>45811</v>
      </c>
      <c r="C148" s="10" t="str">
        <f>TEXT(SalesDataTable[[#This Row],[Order_Date]],"YYYY")</f>
        <v>2025</v>
      </c>
      <c r="D148" s="10" t="str">
        <f>TEXT(SalesDataTable[[#This Row],[Order_Date]],"MMM")</f>
        <v>Jun</v>
      </c>
      <c r="E148" t="str">
        <f t="shared" si="10"/>
        <v>Jun 2025</v>
      </c>
      <c r="F148" s="8" t="s">
        <v>35</v>
      </c>
      <c r="G148" s="8" t="s">
        <v>82</v>
      </c>
      <c r="H148" s="8" t="s">
        <v>103</v>
      </c>
      <c r="I148" s="8" t="s">
        <v>54</v>
      </c>
      <c r="J148" s="8" t="s">
        <v>130</v>
      </c>
      <c r="K148" s="8" t="s">
        <v>49</v>
      </c>
      <c r="L148" s="8" t="s">
        <v>50</v>
      </c>
      <c r="M148" s="8" t="s">
        <v>56</v>
      </c>
      <c r="N148" s="3">
        <v>9</v>
      </c>
      <c r="O148" s="15">
        <v>38.24</v>
      </c>
      <c r="P148" s="17">
        <v>0</v>
      </c>
      <c r="Q148" s="15">
        <v>23.35</v>
      </c>
      <c r="R148" s="15">
        <f t="shared" si="11"/>
        <v>344.16</v>
      </c>
      <c r="S148" s="15">
        <f t="shared" si="12"/>
        <v>210.15</v>
      </c>
      <c r="T148" s="15">
        <f t="shared" si="13"/>
        <v>134.01000000000002</v>
      </c>
      <c r="U148" s="17">
        <f t="shared" si="14"/>
        <v>0.38938284518828453</v>
      </c>
      <c r="V148" s="3">
        <v>8</v>
      </c>
      <c r="W148" s="12">
        <v>5</v>
      </c>
    </row>
    <row r="149" spans="1:23">
      <c r="A149" s="8" t="s">
        <v>233</v>
      </c>
      <c r="B149" s="10">
        <v>45705</v>
      </c>
      <c r="C149" s="10" t="str">
        <f>TEXT(SalesDataTable[[#This Row],[Order_Date]],"YYYY")</f>
        <v>2025</v>
      </c>
      <c r="D149" s="10" t="str">
        <f>TEXT(SalesDataTable[[#This Row],[Order_Date]],"MMM")</f>
        <v>Feb</v>
      </c>
      <c r="E149" t="str">
        <f t="shared" si="10"/>
        <v>Feb 2025</v>
      </c>
      <c r="F149" s="8" t="s">
        <v>44</v>
      </c>
      <c r="G149" s="8" t="s">
        <v>82</v>
      </c>
      <c r="H149" s="8" t="s">
        <v>89</v>
      </c>
      <c r="I149" s="8" t="s">
        <v>65</v>
      </c>
      <c r="J149" s="8" t="s">
        <v>75</v>
      </c>
      <c r="K149" s="8" t="s">
        <v>49</v>
      </c>
      <c r="L149" s="8" t="s">
        <v>50</v>
      </c>
      <c r="M149" s="8" t="s">
        <v>56</v>
      </c>
      <c r="N149" s="3">
        <v>8</v>
      </c>
      <c r="O149" s="15">
        <v>13.1</v>
      </c>
      <c r="P149" s="17">
        <v>0.2</v>
      </c>
      <c r="Q149" s="15">
        <v>6.33</v>
      </c>
      <c r="R149" s="15">
        <f t="shared" si="11"/>
        <v>83.84</v>
      </c>
      <c r="S149" s="15">
        <f t="shared" si="12"/>
        <v>50.64</v>
      </c>
      <c r="T149" s="15">
        <f t="shared" si="13"/>
        <v>33.200000000000003</v>
      </c>
      <c r="U149" s="17">
        <f t="shared" si="14"/>
        <v>0.39599236641221375</v>
      </c>
      <c r="V149" s="3">
        <v>1</v>
      </c>
      <c r="W149" s="12">
        <v>4</v>
      </c>
    </row>
    <row r="150" spans="1:23">
      <c r="A150" s="8" t="s">
        <v>234</v>
      </c>
      <c r="B150" s="10">
        <v>45755</v>
      </c>
      <c r="C150" s="10" t="str">
        <f>TEXT(SalesDataTable[[#This Row],[Order_Date]],"YYYY")</f>
        <v>2025</v>
      </c>
      <c r="D150" s="10" t="str">
        <f>TEXT(SalesDataTable[[#This Row],[Order_Date]],"MMM")</f>
        <v>Apr</v>
      </c>
      <c r="E150" t="str">
        <f t="shared" si="10"/>
        <v>Apr 2025</v>
      </c>
      <c r="F150" s="8" t="s">
        <v>35</v>
      </c>
      <c r="G150" s="8" t="s">
        <v>36</v>
      </c>
      <c r="H150" s="8" t="s">
        <v>61</v>
      </c>
      <c r="I150" s="8" t="s">
        <v>54</v>
      </c>
      <c r="J150" s="8" t="s">
        <v>130</v>
      </c>
      <c r="K150" s="8" t="s">
        <v>49</v>
      </c>
      <c r="L150" s="8" t="s">
        <v>50</v>
      </c>
      <c r="M150" s="8" t="s">
        <v>56</v>
      </c>
      <c r="N150" s="3">
        <v>9</v>
      </c>
      <c r="O150" s="15">
        <v>40.86</v>
      </c>
      <c r="P150" s="17">
        <v>0.05</v>
      </c>
      <c r="Q150" s="15">
        <v>25.06</v>
      </c>
      <c r="R150" s="15">
        <f t="shared" si="11"/>
        <v>349.35300000000001</v>
      </c>
      <c r="S150" s="15">
        <f t="shared" si="12"/>
        <v>225.54</v>
      </c>
      <c r="T150" s="15">
        <f t="shared" si="13"/>
        <v>123.81300000000002</v>
      </c>
      <c r="U150" s="17">
        <f t="shared" si="14"/>
        <v>0.35440657443903451</v>
      </c>
      <c r="V150" s="3">
        <v>9</v>
      </c>
      <c r="W150" s="12">
        <v>5</v>
      </c>
    </row>
    <row r="151" spans="1:23">
      <c r="A151" s="8" t="s">
        <v>235</v>
      </c>
      <c r="B151" s="10">
        <v>45815</v>
      </c>
      <c r="C151" s="10" t="str">
        <f>TEXT(SalesDataTable[[#This Row],[Order_Date]],"YYYY")</f>
        <v>2025</v>
      </c>
      <c r="D151" s="10" t="str">
        <f>TEXT(SalesDataTable[[#This Row],[Order_Date]],"MMM")</f>
        <v>Jun</v>
      </c>
      <c r="E151" t="str">
        <f t="shared" si="10"/>
        <v>Jun 2025</v>
      </c>
      <c r="F151" s="8" t="s">
        <v>35</v>
      </c>
      <c r="G151" s="8" t="s">
        <v>63</v>
      </c>
      <c r="H151" s="8" t="s">
        <v>124</v>
      </c>
      <c r="I151" s="8" t="s">
        <v>47</v>
      </c>
      <c r="J151" s="8" t="s">
        <v>137</v>
      </c>
      <c r="K151" s="8" t="s">
        <v>71</v>
      </c>
      <c r="L151" s="8" t="s">
        <v>67</v>
      </c>
      <c r="M151" s="8" t="s">
        <v>85</v>
      </c>
      <c r="N151" s="3">
        <v>4</v>
      </c>
      <c r="O151" s="15">
        <v>53.99</v>
      </c>
      <c r="P151" s="17">
        <v>0.05</v>
      </c>
      <c r="Q151" s="15">
        <v>31.56</v>
      </c>
      <c r="R151" s="15">
        <f t="shared" si="11"/>
        <v>205.16200000000001</v>
      </c>
      <c r="S151" s="15">
        <f t="shared" si="12"/>
        <v>126.24</v>
      </c>
      <c r="T151" s="15">
        <f t="shared" si="13"/>
        <v>78.922000000000011</v>
      </c>
      <c r="U151" s="17">
        <f t="shared" si="14"/>
        <v>0.38468137374367578</v>
      </c>
      <c r="V151" s="3">
        <v>4</v>
      </c>
      <c r="W151" s="12">
        <v>5</v>
      </c>
    </row>
    <row r="152" spans="1:23">
      <c r="A152" s="8" t="s">
        <v>236</v>
      </c>
      <c r="B152" s="10">
        <v>45666</v>
      </c>
      <c r="C152" s="10" t="str">
        <f>TEXT(SalesDataTable[[#This Row],[Order_Date]],"YYYY")</f>
        <v>2025</v>
      </c>
      <c r="D152" s="10" t="str">
        <f>TEXT(SalesDataTable[[#This Row],[Order_Date]],"MMM")</f>
        <v>Jan</v>
      </c>
      <c r="E152" t="str">
        <f t="shared" si="10"/>
        <v>Jan 2025</v>
      </c>
      <c r="F152" s="8" t="s">
        <v>44</v>
      </c>
      <c r="G152" s="8" t="s">
        <v>63</v>
      </c>
      <c r="H152" s="8" t="s">
        <v>98</v>
      </c>
      <c r="I152" s="8" t="s">
        <v>54</v>
      </c>
      <c r="J152" s="8" t="s">
        <v>130</v>
      </c>
      <c r="K152" s="8" t="s">
        <v>40</v>
      </c>
      <c r="L152" s="8" t="s">
        <v>50</v>
      </c>
      <c r="M152" s="8" t="s">
        <v>56</v>
      </c>
      <c r="N152" s="3">
        <v>20</v>
      </c>
      <c r="O152" s="15">
        <v>43.33</v>
      </c>
      <c r="P152" s="17">
        <v>0.1</v>
      </c>
      <c r="Q152" s="15">
        <v>24</v>
      </c>
      <c r="R152" s="15">
        <f t="shared" si="11"/>
        <v>779.93999999999994</v>
      </c>
      <c r="S152" s="15">
        <f t="shared" si="12"/>
        <v>480</v>
      </c>
      <c r="T152" s="15">
        <f t="shared" si="13"/>
        <v>299.93999999999994</v>
      </c>
      <c r="U152" s="17">
        <f t="shared" si="14"/>
        <v>0.38456804369566883</v>
      </c>
      <c r="V152" s="3">
        <v>6</v>
      </c>
      <c r="W152" s="12">
        <v>4</v>
      </c>
    </row>
    <row r="153" spans="1:23">
      <c r="A153" s="8" t="s">
        <v>237</v>
      </c>
      <c r="B153" s="10">
        <v>45908</v>
      </c>
      <c r="C153" s="10" t="str">
        <f>TEXT(SalesDataTable[[#This Row],[Order_Date]],"YYYY")</f>
        <v>2025</v>
      </c>
      <c r="D153" s="10" t="str">
        <f>TEXT(SalesDataTable[[#This Row],[Order_Date]],"MMM")</f>
        <v>Sep</v>
      </c>
      <c r="E153" t="str">
        <f t="shared" si="10"/>
        <v>Sep 2025</v>
      </c>
      <c r="F153" s="8" t="s">
        <v>35</v>
      </c>
      <c r="G153" s="8" t="s">
        <v>45</v>
      </c>
      <c r="H153" s="8" t="s">
        <v>120</v>
      </c>
      <c r="I153" s="8" t="s">
        <v>65</v>
      </c>
      <c r="J153" s="8" t="s">
        <v>66</v>
      </c>
      <c r="K153" s="8" t="s">
        <v>40</v>
      </c>
      <c r="L153" s="8" t="s">
        <v>67</v>
      </c>
      <c r="M153" s="8" t="s">
        <v>68</v>
      </c>
      <c r="N153" s="3">
        <v>19</v>
      </c>
      <c r="O153" s="15">
        <v>27.95</v>
      </c>
      <c r="P153" s="17">
        <v>0.05</v>
      </c>
      <c r="Q153" s="15">
        <v>15.02</v>
      </c>
      <c r="R153" s="15">
        <f t="shared" si="11"/>
        <v>504.49749999999995</v>
      </c>
      <c r="S153" s="15">
        <f t="shared" si="12"/>
        <v>285.38</v>
      </c>
      <c r="T153" s="15">
        <f t="shared" si="13"/>
        <v>219.11749999999995</v>
      </c>
      <c r="U153" s="17">
        <f t="shared" si="14"/>
        <v>0.43432821768195079</v>
      </c>
      <c r="V153" s="3">
        <v>2</v>
      </c>
      <c r="W153" s="12">
        <v>5</v>
      </c>
    </row>
    <row r="154" spans="1:23">
      <c r="A154" s="8" t="s">
        <v>238</v>
      </c>
      <c r="B154" s="10">
        <v>46000</v>
      </c>
      <c r="C154" s="10" t="str">
        <f>TEXT(SalesDataTable[[#This Row],[Order_Date]],"YYYY")</f>
        <v>2025</v>
      </c>
      <c r="D154" s="10" t="str">
        <f>TEXT(SalesDataTable[[#This Row],[Order_Date]],"MMM")</f>
        <v>Dec</v>
      </c>
      <c r="E154" t="str">
        <f t="shared" si="10"/>
        <v>Dec 2025</v>
      </c>
      <c r="F154" s="8" t="s">
        <v>44</v>
      </c>
      <c r="G154" s="8" t="s">
        <v>36</v>
      </c>
      <c r="H154" s="8" t="s">
        <v>37</v>
      </c>
      <c r="I154" s="8" t="s">
        <v>47</v>
      </c>
      <c r="J154" s="8" t="s">
        <v>78</v>
      </c>
      <c r="K154" s="8" t="s">
        <v>40</v>
      </c>
      <c r="L154" s="8" t="s">
        <v>50</v>
      </c>
      <c r="M154" s="8" t="s">
        <v>42</v>
      </c>
      <c r="N154" s="3">
        <v>8</v>
      </c>
      <c r="O154" s="15">
        <v>44.19</v>
      </c>
      <c r="P154" s="17">
        <v>0.1</v>
      </c>
      <c r="Q154" s="15">
        <v>27.51</v>
      </c>
      <c r="R154" s="15">
        <f t="shared" si="11"/>
        <v>318.16800000000001</v>
      </c>
      <c r="S154" s="15">
        <f t="shared" si="12"/>
        <v>220.08</v>
      </c>
      <c r="T154" s="15">
        <f t="shared" si="13"/>
        <v>98.087999999999994</v>
      </c>
      <c r="U154" s="17">
        <f t="shared" si="14"/>
        <v>0.30828996002112091</v>
      </c>
      <c r="V154" s="3">
        <v>8</v>
      </c>
      <c r="W154" s="12">
        <v>5</v>
      </c>
    </row>
    <row r="155" spans="1:23">
      <c r="A155" s="8" t="s">
        <v>239</v>
      </c>
      <c r="B155" s="10">
        <v>45666</v>
      </c>
      <c r="C155" s="10" t="str">
        <f>TEXT(SalesDataTable[[#This Row],[Order_Date]],"YYYY")</f>
        <v>2025</v>
      </c>
      <c r="D155" s="10" t="str">
        <f>TEXT(SalesDataTable[[#This Row],[Order_Date]],"MMM")</f>
        <v>Jan</v>
      </c>
      <c r="E155" t="str">
        <f t="shared" si="10"/>
        <v>Jan 2025</v>
      </c>
      <c r="F155" s="8" t="s">
        <v>35</v>
      </c>
      <c r="G155" s="8" t="s">
        <v>36</v>
      </c>
      <c r="H155" s="8" t="s">
        <v>61</v>
      </c>
      <c r="I155" s="8" t="s">
        <v>47</v>
      </c>
      <c r="J155" s="8" t="s">
        <v>105</v>
      </c>
      <c r="K155" s="8" t="s">
        <v>40</v>
      </c>
      <c r="L155" s="8" t="s">
        <v>76</v>
      </c>
      <c r="M155" s="8" t="s">
        <v>72</v>
      </c>
      <c r="N155" s="3">
        <v>9</v>
      </c>
      <c r="O155" s="15">
        <v>37.76</v>
      </c>
      <c r="P155" s="17">
        <v>0.1</v>
      </c>
      <c r="Q155" s="15">
        <v>20.56</v>
      </c>
      <c r="R155" s="15">
        <f t="shared" si="11"/>
        <v>305.85599999999999</v>
      </c>
      <c r="S155" s="15">
        <f t="shared" si="12"/>
        <v>185.04</v>
      </c>
      <c r="T155" s="15">
        <f t="shared" si="13"/>
        <v>120.816</v>
      </c>
      <c r="U155" s="17">
        <f t="shared" si="14"/>
        <v>0.39500941619585689</v>
      </c>
      <c r="V155" s="3">
        <v>3</v>
      </c>
      <c r="W155" s="12">
        <v>3</v>
      </c>
    </row>
    <row r="156" spans="1:23">
      <c r="A156" s="8" t="s">
        <v>240</v>
      </c>
      <c r="B156" s="10">
        <v>45707</v>
      </c>
      <c r="C156" s="10" t="str">
        <f>TEXT(SalesDataTable[[#This Row],[Order_Date]],"YYYY")</f>
        <v>2025</v>
      </c>
      <c r="D156" s="10" t="str">
        <f>TEXT(SalesDataTable[[#This Row],[Order_Date]],"MMM")</f>
        <v>Feb</v>
      </c>
      <c r="E156" t="str">
        <f t="shared" si="10"/>
        <v>Feb 2025</v>
      </c>
      <c r="F156" s="8" t="s">
        <v>44</v>
      </c>
      <c r="G156" s="8" t="s">
        <v>82</v>
      </c>
      <c r="H156" s="8" t="s">
        <v>89</v>
      </c>
      <c r="I156" s="8" t="s">
        <v>65</v>
      </c>
      <c r="J156" s="8" t="s">
        <v>66</v>
      </c>
      <c r="K156" s="8" t="s">
        <v>49</v>
      </c>
      <c r="L156" s="8" t="s">
        <v>67</v>
      </c>
      <c r="M156" s="8" t="s">
        <v>72</v>
      </c>
      <c r="N156" s="3">
        <v>13</v>
      </c>
      <c r="O156" s="15">
        <v>27.78</v>
      </c>
      <c r="P156" s="17">
        <v>0</v>
      </c>
      <c r="Q156" s="15">
        <v>13.91</v>
      </c>
      <c r="R156" s="15">
        <f t="shared" si="11"/>
        <v>361.14</v>
      </c>
      <c r="S156" s="15">
        <f t="shared" si="12"/>
        <v>180.83</v>
      </c>
      <c r="T156" s="15">
        <f t="shared" si="13"/>
        <v>180.30999999999997</v>
      </c>
      <c r="U156" s="17">
        <f t="shared" si="14"/>
        <v>0.49928005759539229</v>
      </c>
      <c r="V156" s="3">
        <v>4</v>
      </c>
      <c r="W156" s="12">
        <v>4</v>
      </c>
    </row>
    <row r="157" spans="1:23">
      <c r="A157" s="8" t="s">
        <v>241</v>
      </c>
      <c r="B157" s="10">
        <v>45699</v>
      </c>
      <c r="C157" s="10" t="str">
        <f>TEXT(SalesDataTable[[#This Row],[Order_Date]],"YYYY")</f>
        <v>2025</v>
      </c>
      <c r="D157" s="10" t="str">
        <f>TEXT(SalesDataTable[[#This Row],[Order_Date]],"MMM")</f>
        <v>Feb</v>
      </c>
      <c r="E157" t="str">
        <f t="shared" si="10"/>
        <v>Feb 2025</v>
      </c>
      <c r="F157" s="8" t="s">
        <v>44</v>
      </c>
      <c r="G157" s="8" t="s">
        <v>36</v>
      </c>
      <c r="H157" s="8" t="s">
        <v>37</v>
      </c>
      <c r="I157" s="8" t="s">
        <v>47</v>
      </c>
      <c r="J157" s="8" t="s">
        <v>137</v>
      </c>
      <c r="K157" s="8" t="s">
        <v>71</v>
      </c>
      <c r="L157" s="8" t="s">
        <v>41</v>
      </c>
      <c r="M157" s="8" t="s">
        <v>51</v>
      </c>
      <c r="N157" s="3">
        <v>3</v>
      </c>
      <c r="O157" s="15">
        <v>50.5</v>
      </c>
      <c r="P157" s="17">
        <v>0.05</v>
      </c>
      <c r="Q157" s="15">
        <v>33.770000000000003</v>
      </c>
      <c r="R157" s="15">
        <f t="shared" si="11"/>
        <v>143.92499999999998</v>
      </c>
      <c r="S157" s="15">
        <f t="shared" si="12"/>
        <v>101.31</v>
      </c>
      <c r="T157" s="15">
        <f t="shared" si="13"/>
        <v>42.614999999999981</v>
      </c>
      <c r="U157" s="17">
        <f t="shared" si="14"/>
        <v>0.29609171443460125</v>
      </c>
      <c r="V157" s="3">
        <v>6</v>
      </c>
      <c r="W157" s="12">
        <v>4</v>
      </c>
    </row>
    <row r="158" spans="1:23">
      <c r="A158" s="8" t="s">
        <v>242</v>
      </c>
      <c r="B158" s="10">
        <v>45706</v>
      </c>
      <c r="C158" s="10" t="str">
        <f>TEXT(SalesDataTable[[#This Row],[Order_Date]],"YYYY")</f>
        <v>2025</v>
      </c>
      <c r="D158" s="10" t="str">
        <f>TEXT(SalesDataTable[[#This Row],[Order_Date]],"MMM")</f>
        <v>Feb</v>
      </c>
      <c r="E158" t="str">
        <f t="shared" si="10"/>
        <v>Feb 2025</v>
      </c>
      <c r="F158" s="8" t="s">
        <v>58</v>
      </c>
      <c r="G158" s="8" t="s">
        <v>36</v>
      </c>
      <c r="H158" s="8" t="s">
        <v>37</v>
      </c>
      <c r="I158" s="8" t="s">
        <v>65</v>
      </c>
      <c r="J158" s="8" t="s">
        <v>87</v>
      </c>
      <c r="K158" s="8" t="s">
        <v>40</v>
      </c>
      <c r="L158" s="8" t="s">
        <v>76</v>
      </c>
      <c r="M158" s="8" t="s">
        <v>42</v>
      </c>
      <c r="N158" s="3">
        <v>20</v>
      </c>
      <c r="O158" s="15">
        <v>10.45</v>
      </c>
      <c r="P158" s="17">
        <v>0.15</v>
      </c>
      <c r="Q158" s="15">
        <v>4.2699999999999996</v>
      </c>
      <c r="R158" s="15">
        <f t="shared" si="11"/>
        <v>177.65</v>
      </c>
      <c r="S158" s="15">
        <f t="shared" si="12"/>
        <v>85.399999999999991</v>
      </c>
      <c r="T158" s="15">
        <f t="shared" si="13"/>
        <v>92.250000000000014</v>
      </c>
      <c r="U158" s="17">
        <f t="shared" si="14"/>
        <v>0.51927948212777941</v>
      </c>
      <c r="V158" s="3">
        <v>1</v>
      </c>
      <c r="W158" s="12">
        <v>5</v>
      </c>
    </row>
    <row r="159" spans="1:23">
      <c r="A159" s="8" t="s">
        <v>243</v>
      </c>
      <c r="B159" s="10">
        <v>45958</v>
      </c>
      <c r="C159" s="10" t="str">
        <f>TEXT(SalesDataTable[[#This Row],[Order_Date]],"YYYY")</f>
        <v>2025</v>
      </c>
      <c r="D159" s="10" t="str">
        <f>TEXT(SalesDataTable[[#This Row],[Order_Date]],"MMM")</f>
        <v>Oct</v>
      </c>
      <c r="E159" t="str">
        <f t="shared" si="10"/>
        <v>Oct 2025</v>
      </c>
      <c r="F159" s="8" t="s">
        <v>35</v>
      </c>
      <c r="G159" s="8" t="s">
        <v>82</v>
      </c>
      <c r="H159" s="8" t="s">
        <v>83</v>
      </c>
      <c r="I159" s="8" t="s">
        <v>54</v>
      </c>
      <c r="J159" s="8" t="s">
        <v>96</v>
      </c>
      <c r="K159" s="8" t="s">
        <v>40</v>
      </c>
      <c r="L159" s="8" t="s">
        <v>67</v>
      </c>
      <c r="M159" s="8" t="s">
        <v>51</v>
      </c>
      <c r="N159" s="3">
        <v>19</v>
      </c>
      <c r="O159" s="15">
        <v>46.7</v>
      </c>
      <c r="P159" s="17">
        <v>0</v>
      </c>
      <c r="Q159" s="15">
        <v>29.15</v>
      </c>
      <c r="R159" s="15">
        <f t="shared" si="11"/>
        <v>887.30000000000007</v>
      </c>
      <c r="S159" s="15">
        <f t="shared" si="12"/>
        <v>553.85</v>
      </c>
      <c r="T159" s="15">
        <f t="shared" si="13"/>
        <v>333.45000000000005</v>
      </c>
      <c r="U159" s="17">
        <f t="shared" si="14"/>
        <v>0.37580299785867238</v>
      </c>
      <c r="V159" s="3">
        <v>2</v>
      </c>
      <c r="W159" s="12">
        <v>4</v>
      </c>
    </row>
    <row r="160" spans="1:23">
      <c r="A160" s="8" t="s">
        <v>244</v>
      </c>
      <c r="B160" s="10">
        <v>45835</v>
      </c>
      <c r="C160" s="10" t="str">
        <f>TEXT(SalesDataTable[[#This Row],[Order_Date]],"YYYY")</f>
        <v>2025</v>
      </c>
      <c r="D160" s="10" t="str">
        <f>TEXT(SalesDataTable[[#This Row],[Order_Date]],"MMM")</f>
        <v>Jun</v>
      </c>
      <c r="E160" t="str">
        <f t="shared" si="10"/>
        <v>Jun 2025</v>
      </c>
      <c r="F160" s="8" t="s">
        <v>35</v>
      </c>
      <c r="G160" s="8" t="s">
        <v>36</v>
      </c>
      <c r="H160" s="8" t="s">
        <v>37</v>
      </c>
      <c r="I160" s="8" t="s">
        <v>47</v>
      </c>
      <c r="J160" s="8" t="s">
        <v>105</v>
      </c>
      <c r="K160" s="8" t="s">
        <v>40</v>
      </c>
      <c r="L160" s="8" t="s">
        <v>67</v>
      </c>
      <c r="M160" s="8" t="s">
        <v>85</v>
      </c>
      <c r="N160" s="3">
        <v>1</v>
      </c>
      <c r="O160" s="15">
        <v>36.380000000000003</v>
      </c>
      <c r="P160" s="17">
        <v>0.05</v>
      </c>
      <c r="Q160" s="15">
        <v>20.91</v>
      </c>
      <c r="R160" s="15">
        <f t="shared" si="11"/>
        <v>34.561</v>
      </c>
      <c r="S160" s="15">
        <f t="shared" si="12"/>
        <v>20.91</v>
      </c>
      <c r="T160" s="15">
        <f t="shared" si="13"/>
        <v>13.651</v>
      </c>
      <c r="U160" s="17">
        <f t="shared" si="14"/>
        <v>0.39498278406296111</v>
      </c>
      <c r="V160" s="3">
        <v>4</v>
      </c>
      <c r="W160" s="12">
        <v>4</v>
      </c>
    </row>
    <row r="161" spans="1:23">
      <c r="A161" s="8" t="s">
        <v>245</v>
      </c>
      <c r="B161" s="10">
        <v>45850</v>
      </c>
      <c r="C161" s="10" t="str">
        <f>TEXT(SalesDataTable[[#This Row],[Order_Date]],"YYYY")</f>
        <v>2025</v>
      </c>
      <c r="D161" s="10" t="str">
        <f>TEXT(SalesDataTable[[#This Row],[Order_Date]],"MMM")</f>
        <v>Jul</v>
      </c>
      <c r="E161" t="str">
        <f t="shared" si="10"/>
        <v>Jul 2025</v>
      </c>
      <c r="F161" s="8" t="s">
        <v>35</v>
      </c>
      <c r="G161" s="8" t="s">
        <v>45</v>
      </c>
      <c r="H161" s="8" t="s">
        <v>46</v>
      </c>
      <c r="I161" s="8" t="s">
        <v>38</v>
      </c>
      <c r="J161" s="8" t="s">
        <v>186</v>
      </c>
      <c r="K161" s="8" t="s">
        <v>40</v>
      </c>
      <c r="L161" s="8" t="s">
        <v>50</v>
      </c>
      <c r="M161" s="8" t="s">
        <v>51</v>
      </c>
      <c r="N161" s="3">
        <v>2</v>
      </c>
      <c r="O161" s="15">
        <v>160.66</v>
      </c>
      <c r="P161" s="17">
        <v>0.1</v>
      </c>
      <c r="Q161" s="15">
        <v>108.64</v>
      </c>
      <c r="R161" s="15">
        <f t="shared" si="11"/>
        <v>289.18799999999999</v>
      </c>
      <c r="S161" s="15">
        <f t="shared" si="12"/>
        <v>217.28</v>
      </c>
      <c r="T161" s="15">
        <f t="shared" si="13"/>
        <v>71.907999999999987</v>
      </c>
      <c r="U161" s="17">
        <f t="shared" si="14"/>
        <v>0.24865485428164374</v>
      </c>
      <c r="V161" s="3">
        <v>3</v>
      </c>
      <c r="W161" s="12">
        <v>5</v>
      </c>
    </row>
    <row r="162" spans="1:23">
      <c r="A162" s="8" t="s">
        <v>246</v>
      </c>
      <c r="B162" s="10">
        <v>45820</v>
      </c>
      <c r="C162" s="10" t="str">
        <f>TEXT(SalesDataTable[[#This Row],[Order_Date]],"YYYY")</f>
        <v>2025</v>
      </c>
      <c r="D162" s="10" t="str">
        <f>TEXT(SalesDataTable[[#This Row],[Order_Date]],"MMM")</f>
        <v>Jun</v>
      </c>
      <c r="E162" t="str">
        <f t="shared" si="10"/>
        <v>Jun 2025</v>
      </c>
      <c r="F162" s="8" t="s">
        <v>35</v>
      </c>
      <c r="G162" s="8" t="s">
        <v>63</v>
      </c>
      <c r="H162" s="8" t="s">
        <v>64</v>
      </c>
      <c r="I162" s="8" t="s">
        <v>65</v>
      </c>
      <c r="J162" s="8" t="s">
        <v>66</v>
      </c>
      <c r="K162" s="8" t="s">
        <v>40</v>
      </c>
      <c r="L162" s="8" t="s">
        <v>41</v>
      </c>
      <c r="M162" s="8" t="s">
        <v>68</v>
      </c>
      <c r="N162" s="3">
        <v>4</v>
      </c>
      <c r="O162" s="15">
        <v>23.53</v>
      </c>
      <c r="P162" s="17">
        <v>0.05</v>
      </c>
      <c r="Q162" s="15">
        <v>13.89</v>
      </c>
      <c r="R162" s="15">
        <f t="shared" si="11"/>
        <v>89.414000000000001</v>
      </c>
      <c r="S162" s="15">
        <f t="shared" si="12"/>
        <v>55.56</v>
      </c>
      <c r="T162" s="15">
        <f t="shared" si="13"/>
        <v>33.853999999999999</v>
      </c>
      <c r="U162" s="17">
        <f t="shared" si="14"/>
        <v>0.37862079763795375</v>
      </c>
      <c r="V162" s="3">
        <v>7</v>
      </c>
      <c r="W162" s="12">
        <v>3</v>
      </c>
    </row>
    <row r="163" spans="1:23">
      <c r="A163" s="8" t="s">
        <v>247</v>
      </c>
      <c r="B163" s="10">
        <v>45703</v>
      </c>
      <c r="C163" s="10" t="str">
        <f>TEXT(SalesDataTable[[#This Row],[Order_Date]],"YYYY")</f>
        <v>2025</v>
      </c>
      <c r="D163" s="10" t="str">
        <f>TEXT(SalesDataTable[[#This Row],[Order_Date]],"MMM")</f>
        <v>Feb</v>
      </c>
      <c r="E163" t="str">
        <f t="shared" si="10"/>
        <v>Feb 2025</v>
      </c>
      <c r="F163" s="8" t="s">
        <v>44</v>
      </c>
      <c r="G163" s="8" t="s">
        <v>63</v>
      </c>
      <c r="H163" s="8" t="s">
        <v>98</v>
      </c>
      <c r="I163" s="8" t="s">
        <v>65</v>
      </c>
      <c r="J163" s="8" t="s">
        <v>66</v>
      </c>
      <c r="K163" s="8" t="s">
        <v>49</v>
      </c>
      <c r="L163" s="8" t="s">
        <v>67</v>
      </c>
      <c r="M163" s="8" t="s">
        <v>56</v>
      </c>
      <c r="N163" s="3">
        <v>4</v>
      </c>
      <c r="O163" s="15">
        <v>26.49</v>
      </c>
      <c r="P163" s="17">
        <v>0.2</v>
      </c>
      <c r="Q163" s="15">
        <v>14.13</v>
      </c>
      <c r="R163" s="15">
        <f t="shared" si="11"/>
        <v>84.768000000000001</v>
      </c>
      <c r="S163" s="15">
        <f t="shared" si="12"/>
        <v>56.52</v>
      </c>
      <c r="T163" s="15">
        <f t="shared" si="13"/>
        <v>28.247999999999998</v>
      </c>
      <c r="U163" s="17">
        <f t="shared" si="14"/>
        <v>0.33323895809739523</v>
      </c>
      <c r="V163" s="3">
        <v>4</v>
      </c>
      <c r="W163" s="12">
        <v>5</v>
      </c>
    </row>
    <row r="164" spans="1:23">
      <c r="A164" s="8" t="s">
        <v>248</v>
      </c>
      <c r="B164" s="10">
        <v>45744</v>
      </c>
      <c r="C164" s="10" t="str">
        <f>TEXT(SalesDataTable[[#This Row],[Order_Date]],"YYYY")</f>
        <v>2025</v>
      </c>
      <c r="D164" s="10" t="str">
        <f>TEXT(SalesDataTable[[#This Row],[Order_Date]],"MMM")</f>
        <v>Mar</v>
      </c>
      <c r="E164" t="str">
        <f t="shared" si="10"/>
        <v>Mar 2025</v>
      </c>
      <c r="F164" s="8" t="s">
        <v>44</v>
      </c>
      <c r="G164" s="8" t="s">
        <v>45</v>
      </c>
      <c r="H164" s="8" t="s">
        <v>46</v>
      </c>
      <c r="I164" s="8" t="s">
        <v>65</v>
      </c>
      <c r="J164" s="8" t="s">
        <v>66</v>
      </c>
      <c r="K164" s="8" t="s">
        <v>40</v>
      </c>
      <c r="L164" s="8" t="s">
        <v>50</v>
      </c>
      <c r="M164" s="8" t="s">
        <v>56</v>
      </c>
      <c r="N164" s="3">
        <v>10</v>
      </c>
      <c r="O164" s="15">
        <v>24.82</v>
      </c>
      <c r="P164" s="17">
        <v>0</v>
      </c>
      <c r="Q164" s="15">
        <v>13.96</v>
      </c>
      <c r="R164" s="15">
        <f t="shared" si="11"/>
        <v>248.2</v>
      </c>
      <c r="S164" s="15">
        <f t="shared" si="12"/>
        <v>139.60000000000002</v>
      </c>
      <c r="T164" s="15">
        <f t="shared" si="13"/>
        <v>108.59999999999997</v>
      </c>
      <c r="U164" s="17">
        <f t="shared" si="14"/>
        <v>0.43755036261079761</v>
      </c>
      <c r="V164" s="3">
        <v>5</v>
      </c>
      <c r="W164" s="12">
        <v>5</v>
      </c>
    </row>
    <row r="165" spans="1:23">
      <c r="A165" s="8" t="s">
        <v>249</v>
      </c>
      <c r="B165" s="10">
        <v>45978</v>
      </c>
      <c r="C165" s="10" t="str">
        <f>TEXT(SalesDataTable[[#This Row],[Order_Date]],"YYYY")</f>
        <v>2025</v>
      </c>
      <c r="D165" s="10" t="str">
        <f>TEXT(SalesDataTable[[#This Row],[Order_Date]],"MMM")</f>
        <v>Nov</v>
      </c>
      <c r="E165" t="str">
        <f t="shared" si="10"/>
        <v>Nov 2025</v>
      </c>
      <c r="F165" s="8" t="s">
        <v>44</v>
      </c>
      <c r="G165" s="8" t="s">
        <v>45</v>
      </c>
      <c r="H165" s="8" t="s">
        <v>74</v>
      </c>
      <c r="I165" s="8" t="s">
        <v>38</v>
      </c>
      <c r="J165" s="8" t="s">
        <v>186</v>
      </c>
      <c r="K165" s="8" t="s">
        <v>40</v>
      </c>
      <c r="L165" s="8" t="s">
        <v>67</v>
      </c>
      <c r="M165" s="8" t="s">
        <v>85</v>
      </c>
      <c r="N165" s="3">
        <v>7</v>
      </c>
      <c r="O165" s="15">
        <v>188.46</v>
      </c>
      <c r="P165" s="17">
        <v>0</v>
      </c>
      <c r="Q165" s="15">
        <v>111.86</v>
      </c>
      <c r="R165" s="15">
        <f t="shared" si="11"/>
        <v>1319.22</v>
      </c>
      <c r="S165" s="15">
        <f t="shared" si="12"/>
        <v>783.02</v>
      </c>
      <c r="T165" s="15">
        <f t="shared" si="13"/>
        <v>536.20000000000005</v>
      </c>
      <c r="U165" s="17">
        <f t="shared" si="14"/>
        <v>0.40645229756977613</v>
      </c>
      <c r="V165" s="3">
        <v>3</v>
      </c>
      <c r="W165" s="12">
        <v>4</v>
      </c>
    </row>
    <row r="166" spans="1:23">
      <c r="A166" s="8" t="s">
        <v>250</v>
      </c>
      <c r="B166" s="10">
        <v>45966</v>
      </c>
      <c r="C166" s="10" t="str">
        <f>TEXT(SalesDataTable[[#This Row],[Order_Date]],"YYYY")</f>
        <v>2025</v>
      </c>
      <c r="D166" s="10" t="str">
        <f>TEXT(SalesDataTable[[#This Row],[Order_Date]],"MMM")</f>
        <v>Nov</v>
      </c>
      <c r="E166" t="str">
        <f t="shared" si="10"/>
        <v>Nov 2025</v>
      </c>
      <c r="F166" s="8" t="s">
        <v>44</v>
      </c>
      <c r="G166" s="8" t="s">
        <v>82</v>
      </c>
      <c r="H166" s="8" t="s">
        <v>103</v>
      </c>
      <c r="I166" s="8" t="s">
        <v>47</v>
      </c>
      <c r="J166" s="8" t="s">
        <v>137</v>
      </c>
      <c r="K166" s="8" t="s">
        <v>49</v>
      </c>
      <c r="L166" s="8" t="s">
        <v>67</v>
      </c>
      <c r="M166" s="8" t="s">
        <v>42</v>
      </c>
      <c r="N166" s="3">
        <v>4</v>
      </c>
      <c r="O166" s="15">
        <v>53.44</v>
      </c>
      <c r="P166" s="17">
        <v>0.1</v>
      </c>
      <c r="Q166" s="15">
        <v>30.88</v>
      </c>
      <c r="R166" s="15">
        <f t="shared" si="11"/>
        <v>192.38399999999999</v>
      </c>
      <c r="S166" s="15">
        <f t="shared" si="12"/>
        <v>123.52</v>
      </c>
      <c r="T166" s="15">
        <f t="shared" si="13"/>
        <v>68.86399999999999</v>
      </c>
      <c r="U166" s="17">
        <f t="shared" si="14"/>
        <v>0.35795076513639384</v>
      </c>
      <c r="V166" s="3">
        <v>6</v>
      </c>
      <c r="W166" s="12">
        <v>3</v>
      </c>
    </row>
    <row r="167" spans="1:23">
      <c r="A167" s="8" t="s">
        <v>251</v>
      </c>
      <c r="B167" s="10">
        <v>45946</v>
      </c>
      <c r="C167" s="10" t="str">
        <f>TEXT(SalesDataTable[[#This Row],[Order_Date]],"YYYY")</f>
        <v>2025</v>
      </c>
      <c r="D167" s="10" t="str">
        <f>TEXT(SalesDataTable[[#This Row],[Order_Date]],"MMM")</f>
        <v>Oct</v>
      </c>
      <c r="E167" t="str">
        <f t="shared" si="10"/>
        <v>Oct 2025</v>
      </c>
      <c r="F167" s="8" t="s">
        <v>35</v>
      </c>
      <c r="G167" s="8" t="s">
        <v>82</v>
      </c>
      <c r="H167" s="8" t="s">
        <v>83</v>
      </c>
      <c r="I167" s="8" t="s">
        <v>54</v>
      </c>
      <c r="J167" s="8" t="s">
        <v>70</v>
      </c>
      <c r="K167" s="8" t="s">
        <v>71</v>
      </c>
      <c r="L167" s="8" t="s">
        <v>67</v>
      </c>
      <c r="M167" s="8" t="s">
        <v>51</v>
      </c>
      <c r="N167" s="3">
        <v>8</v>
      </c>
      <c r="O167" s="15">
        <v>64.77</v>
      </c>
      <c r="P167" s="17">
        <v>0.1</v>
      </c>
      <c r="Q167" s="15">
        <v>36.729999999999997</v>
      </c>
      <c r="R167" s="15">
        <f t="shared" si="11"/>
        <v>466.34399999999999</v>
      </c>
      <c r="S167" s="15">
        <f t="shared" si="12"/>
        <v>293.83999999999997</v>
      </c>
      <c r="T167" s="15">
        <f t="shared" si="13"/>
        <v>172.50400000000002</v>
      </c>
      <c r="U167" s="17">
        <f t="shared" si="14"/>
        <v>0.36990719297342739</v>
      </c>
      <c r="V167" s="3">
        <v>7</v>
      </c>
      <c r="W167" s="12">
        <v>5</v>
      </c>
    </row>
    <row r="168" spans="1:23">
      <c r="A168" s="8" t="s">
        <v>252</v>
      </c>
      <c r="B168" s="10">
        <v>45729</v>
      </c>
      <c r="C168" s="10" t="str">
        <f>TEXT(SalesDataTable[[#This Row],[Order_Date]],"YYYY")</f>
        <v>2025</v>
      </c>
      <c r="D168" s="10" t="str">
        <f>TEXT(SalesDataTable[[#This Row],[Order_Date]],"MMM")</f>
        <v>Mar</v>
      </c>
      <c r="E168" t="str">
        <f t="shared" si="10"/>
        <v>Mar 2025</v>
      </c>
      <c r="F168" s="8" t="s">
        <v>35</v>
      </c>
      <c r="G168" s="8" t="s">
        <v>63</v>
      </c>
      <c r="H168" s="8" t="s">
        <v>64</v>
      </c>
      <c r="I168" s="8" t="s">
        <v>65</v>
      </c>
      <c r="J168" s="8" t="s">
        <v>92</v>
      </c>
      <c r="K168" s="8" t="s">
        <v>71</v>
      </c>
      <c r="L168" s="8" t="s">
        <v>41</v>
      </c>
      <c r="M168" s="8" t="s">
        <v>56</v>
      </c>
      <c r="N168" s="3">
        <v>21</v>
      </c>
      <c r="O168" s="15">
        <v>18.100000000000001</v>
      </c>
      <c r="P168" s="17">
        <v>0.05</v>
      </c>
      <c r="Q168" s="15">
        <v>9.84</v>
      </c>
      <c r="R168" s="15">
        <f t="shared" si="11"/>
        <v>361.09500000000003</v>
      </c>
      <c r="S168" s="15">
        <f t="shared" si="12"/>
        <v>206.64</v>
      </c>
      <c r="T168" s="15">
        <f t="shared" si="13"/>
        <v>154.45500000000004</v>
      </c>
      <c r="U168" s="17">
        <f t="shared" si="14"/>
        <v>0.4277406222739169</v>
      </c>
      <c r="V168" s="3">
        <v>7</v>
      </c>
      <c r="W168" s="12">
        <v>4</v>
      </c>
    </row>
    <row r="169" spans="1:23">
      <c r="A169" s="8" t="s">
        <v>253</v>
      </c>
      <c r="B169" s="10">
        <v>45842</v>
      </c>
      <c r="C169" s="10" t="str">
        <f>TEXT(SalesDataTable[[#This Row],[Order_Date]],"YYYY")</f>
        <v>2025</v>
      </c>
      <c r="D169" s="10" t="str">
        <f>TEXT(SalesDataTable[[#This Row],[Order_Date]],"MMM")</f>
        <v>Jul</v>
      </c>
      <c r="E169" t="str">
        <f t="shared" si="10"/>
        <v>Jul 2025</v>
      </c>
      <c r="F169" s="8" t="s">
        <v>35</v>
      </c>
      <c r="G169" s="8" t="s">
        <v>36</v>
      </c>
      <c r="H169" s="8" t="s">
        <v>37</v>
      </c>
      <c r="I169" s="8" t="s">
        <v>38</v>
      </c>
      <c r="J169" s="8" t="s">
        <v>59</v>
      </c>
      <c r="K169" s="8" t="s">
        <v>40</v>
      </c>
      <c r="L169" s="8" t="s">
        <v>67</v>
      </c>
      <c r="M169" s="8" t="s">
        <v>85</v>
      </c>
      <c r="N169" s="3">
        <v>7</v>
      </c>
      <c r="O169" s="15">
        <v>129.26</v>
      </c>
      <c r="P169" s="17">
        <v>0</v>
      </c>
      <c r="Q169" s="15">
        <v>84.22</v>
      </c>
      <c r="R169" s="15">
        <f t="shared" si="11"/>
        <v>904.81999999999994</v>
      </c>
      <c r="S169" s="15">
        <f t="shared" si="12"/>
        <v>589.54</v>
      </c>
      <c r="T169" s="15">
        <f t="shared" si="13"/>
        <v>315.27999999999997</v>
      </c>
      <c r="U169" s="17">
        <f t="shared" si="14"/>
        <v>0.34844499458455824</v>
      </c>
      <c r="V169" s="3">
        <v>9</v>
      </c>
      <c r="W169" s="12">
        <v>4</v>
      </c>
    </row>
    <row r="170" spans="1:23">
      <c r="A170" s="8" t="s">
        <v>254</v>
      </c>
      <c r="B170" s="10">
        <v>46010</v>
      </c>
      <c r="C170" s="10" t="str">
        <f>TEXT(SalesDataTable[[#This Row],[Order_Date]],"YYYY")</f>
        <v>2025</v>
      </c>
      <c r="D170" s="10" t="str">
        <f>TEXT(SalesDataTable[[#This Row],[Order_Date]],"MMM")</f>
        <v>Dec</v>
      </c>
      <c r="E170" t="str">
        <f t="shared" si="10"/>
        <v>Dec 2025</v>
      </c>
      <c r="F170" s="8" t="s">
        <v>35</v>
      </c>
      <c r="G170" s="8" t="s">
        <v>82</v>
      </c>
      <c r="H170" s="8" t="s">
        <v>103</v>
      </c>
      <c r="I170" s="8" t="s">
        <v>47</v>
      </c>
      <c r="J170" s="8" t="s">
        <v>137</v>
      </c>
      <c r="K170" s="8" t="s">
        <v>71</v>
      </c>
      <c r="L170" s="8" t="s">
        <v>50</v>
      </c>
      <c r="M170" s="8" t="s">
        <v>85</v>
      </c>
      <c r="N170" s="3">
        <v>1</v>
      </c>
      <c r="O170" s="15">
        <v>55.34</v>
      </c>
      <c r="P170" s="17">
        <v>0.15</v>
      </c>
      <c r="Q170" s="15">
        <v>30.95</v>
      </c>
      <c r="R170" s="15">
        <f t="shared" si="11"/>
        <v>47.039000000000001</v>
      </c>
      <c r="S170" s="15">
        <f t="shared" si="12"/>
        <v>30.95</v>
      </c>
      <c r="T170" s="15">
        <f t="shared" si="13"/>
        <v>16.089000000000002</v>
      </c>
      <c r="U170" s="17">
        <f t="shared" si="14"/>
        <v>0.34203533238376671</v>
      </c>
      <c r="V170" s="3">
        <v>2</v>
      </c>
      <c r="W170" s="12">
        <v>3</v>
      </c>
    </row>
    <row r="171" spans="1:23">
      <c r="A171" s="8" t="s">
        <v>255</v>
      </c>
      <c r="B171" s="10">
        <v>45730</v>
      </c>
      <c r="C171" s="10" t="str">
        <f>TEXT(SalesDataTable[[#This Row],[Order_Date]],"YYYY")</f>
        <v>2025</v>
      </c>
      <c r="D171" s="10" t="str">
        <f>TEXT(SalesDataTable[[#This Row],[Order_Date]],"MMM")</f>
        <v>Mar</v>
      </c>
      <c r="E171" t="str">
        <f t="shared" si="10"/>
        <v>Mar 2025</v>
      </c>
      <c r="F171" s="8" t="s">
        <v>44</v>
      </c>
      <c r="G171" s="8" t="s">
        <v>63</v>
      </c>
      <c r="H171" s="8" t="s">
        <v>124</v>
      </c>
      <c r="I171" s="8" t="s">
        <v>47</v>
      </c>
      <c r="J171" s="8" t="s">
        <v>78</v>
      </c>
      <c r="K171" s="8" t="s">
        <v>71</v>
      </c>
      <c r="L171" s="8" t="s">
        <v>41</v>
      </c>
      <c r="M171" s="8" t="s">
        <v>56</v>
      </c>
      <c r="N171" s="3">
        <v>12</v>
      </c>
      <c r="O171" s="15">
        <v>47.4</v>
      </c>
      <c r="P171" s="17">
        <v>0</v>
      </c>
      <c r="Q171" s="15">
        <v>26.22</v>
      </c>
      <c r="R171" s="15">
        <f t="shared" si="11"/>
        <v>568.79999999999995</v>
      </c>
      <c r="S171" s="15">
        <f t="shared" si="12"/>
        <v>314.64</v>
      </c>
      <c r="T171" s="15">
        <f t="shared" si="13"/>
        <v>254.15999999999997</v>
      </c>
      <c r="U171" s="17">
        <f t="shared" si="14"/>
        <v>0.44683544303797468</v>
      </c>
      <c r="V171" s="3">
        <v>2</v>
      </c>
      <c r="W171" s="12">
        <v>3</v>
      </c>
    </row>
    <row r="172" spans="1:23">
      <c r="A172" s="8" t="s">
        <v>256</v>
      </c>
      <c r="B172" s="10">
        <v>45833</v>
      </c>
      <c r="C172" s="10" t="str">
        <f>TEXT(SalesDataTable[[#This Row],[Order_Date]],"YYYY")</f>
        <v>2025</v>
      </c>
      <c r="D172" s="10" t="str">
        <f>TEXT(SalesDataTable[[#This Row],[Order_Date]],"MMM")</f>
        <v>Jun</v>
      </c>
      <c r="E172" t="str">
        <f t="shared" si="10"/>
        <v>Jun 2025</v>
      </c>
      <c r="F172" s="8" t="s">
        <v>35</v>
      </c>
      <c r="G172" s="8" t="s">
        <v>36</v>
      </c>
      <c r="H172" s="8" t="s">
        <v>61</v>
      </c>
      <c r="I172" s="8" t="s">
        <v>54</v>
      </c>
      <c r="J172" s="8" t="s">
        <v>70</v>
      </c>
      <c r="K172" s="8" t="s">
        <v>71</v>
      </c>
      <c r="L172" s="8" t="s">
        <v>76</v>
      </c>
      <c r="M172" s="8" t="s">
        <v>42</v>
      </c>
      <c r="N172" s="3">
        <v>15</v>
      </c>
      <c r="O172" s="15">
        <v>72.209999999999994</v>
      </c>
      <c r="P172" s="17">
        <v>0.05</v>
      </c>
      <c r="Q172" s="15">
        <v>36.369999999999997</v>
      </c>
      <c r="R172" s="15">
        <f t="shared" si="11"/>
        <v>1028.9924999999998</v>
      </c>
      <c r="S172" s="15">
        <f t="shared" si="12"/>
        <v>545.54999999999995</v>
      </c>
      <c r="T172" s="15">
        <f t="shared" si="13"/>
        <v>483.44249999999988</v>
      </c>
      <c r="U172" s="17">
        <f t="shared" si="14"/>
        <v>0.46982120860939214</v>
      </c>
      <c r="V172" s="3">
        <v>3</v>
      </c>
      <c r="W172" s="12">
        <v>4</v>
      </c>
    </row>
    <row r="173" spans="1:23">
      <c r="A173" s="8" t="s">
        <v>257</v>
      </c>
      <c r="B173" s="10">
        <v>45994</v>
      </c>
      <c r="C173" s="10" t="str">
        <f>TEXT(SalesDataTable[[#This Row],[Order_Date]],"YYYY")</f>
        <v>2025</v>
      </c>
      <c r="D173" s="10" t="str">
        <f>TEXT(SalesDataTable[[#This Row],[Order_Date]],"MMM")</f>
        <v>Dec</v>
      </c>
      <c r="E173" t="str">
        <f t="shared" si="10"/>
        <v>Dec 2025</v>
      </c>
      <c r="F173" s="8" t="s">
        <v>44</v>
      </c>
      <c r="G173" s="8" t="s">
        <v>45</v>
      </c>
      <c r="H173" s="8" t="s">
        <v>120</v>
      </c>
      <c r="I173" s="8" t="s">
        <v>65</v>
      </c>
      <c r="J173" s="8" t="s">
        <v>92</v>
      </c>
      <c r="K173" s="8" t="s">
        <v>40</v>
      </c>
      <c r="L173" s="8" t="s">
        <v>41</v>
      </c>
      <c r="M173" s="8" t="s">
        <v>51</v>
      </c>
      <c r="N173" s="3">
        <v>8</v>
      </c>
      <c r="O173" s="15">
        <v>17.010000000000002</v>
      </c>
      <c r="P173" s="17">
        <v>0.1</v>
      </c>
      <c r="Q173" s="15">
        <v>10.4</v>
      </c>
      <c r="R173" s="15">
        <f t="shared" si="11"/>
        <v>122.47200000000001</v>
      </c>
      <c r="S173" s="15">
        <f t="shared" si="12"/>
        <v>83.2</v>
      </c>
      <c r="T173" s="15">
        <f t="shared" si="13"/>
        <v>39.272000000000006</v>
      </c>
      <c r="U173" s="17">
        <f t="shared" si="14"/>
        <v>0.32066104905611081</v>
      </c>
      <c r="V173" s="3">
        <v>2</v>
      </c>
      <c r="W173" s="12">
        <v>5</v>
      </c>
    </row>
    <row r="174" spans="1:23">
      <c r="A174" s="8" t="s">
        <v>258</v>
      </c>
      <c r="B174" s="10">
        <v>45932</v>
      </c>
      <c r="C174" s="10" t="str">
        <f>TEXT(SalesDataTable[[#This Row],[Order_Date]],"YYYY")</f>
        <v>2025</v>
      </c>
      <c r="D174" s="10" t="str">
        <f>TEXT(SalesDataTable[[#This Row],[Order_Date]],"MMM")</f>
        <v>Oct</v>
      </c>
      <c r="E174" t="str">
        <f t="shared" si="10"/>
        <v>Oct 2025</v>
      </c>
      <c r="F174" s="8" t="s">
        <v>35</v>
      </c>
      <c r="G174" s="8" t="s">
        <v>82</v>
      </c>
      <c r="H174" s="8" t="s">
        <v>103</v>
      </c>
      <c r="I174" s="8" t="s">
        <v>47</v>
      </c>
      <c r="J174" s="8" t="s">
        <v>137</v>
      </c>
      <c r="K174" s="8" t="s">
        <v>40</v>
      </c>
      <c r="L174" s="8" t="s">
        <v>67</v>
      </c>
      <c r="M174" s="8" t="s">
        <v>42</v>
      </c>
      <c r="N174" s="3">
        <v>11</v>
      </c>
      <c r="O174" s="15">
        <v>53.29</v>
      </c>
      <c r="P174" s="17">
        <v>0.05</v>
      </c>
      <c r="Q174" s="15">
        <v>31.43</v>
      </c>
      <c r="R174" s="15">
        <f t="shared" si="11"/>
        <v>556.88049999999987</v>
      </c>
      <c r="S174" s="15">
        <f t="shared" si="12"/>
        <v>345.73</v>
      </c>
      <c r="T174" s="15">
        <f t="shared" si="13"/>
        <v>211.15049999999985</v>
      </c>
      <c r="U174" s="17">
        <f t="shared" si="14"/>
        <v>0.37916662551480956</v>
      </c>
      <c r="V174" s="3">
        <v>2</v>
      </c>
      <c r="W174" s="12">
        <v>4</v>
      </c>
    </row>
    <row r="175" spans="1:23">
      <c r="A175" s="8" t="s">
        <v>259</v>
      </c>
      <c r="B175" s="10">
        <v>45892</v>
      </c>
      <c r="C175" s="10" t="str">
        <f>TEXT(SalesDataTable[[#This Row],[Order_Date]],"YYYY")</f>
        <v>2025</v>
      </c>
      <c r="D175" s="10" t="str">
        <f>TEXT(SalesDataTable[[#This Row],[Order_Date]],"MMM")</f>
        <v>Aug</v>
      </c>
      <c r="E175" t="str">
        <f t="shared" si="10"/>
        <v>Aug 2025</v>
      </c>
      <c r="F175" s="8" t="s">
        <v>35</v>
      </c>
      <c r="G175" s="8" t="s">
        <v>82</v>
      </c>
      <c r="H175" s="8" t="s">
        <v>83</v>
      </c>
      <c r="I175" s="8" t="s">
        <v>38</v>
      </c>
      <c r="J175" s="8" t="s">
        <v>59</v>
      </c>
      <c r="K175" s="8" t="s">
        <v>49</v>
      </c>
      <c r="L175" s="8" t="s">
        <v>50</v>
      </c>
      <c r="M175" s="8" t="s">
        <v>85</v>
      </c>
      <c r="N175" s="3">
        <v>2</v>
      </c>
      <c r="O175" s="15">
        <v>133.35</v>
      </c>
      <c r="P175" s="17">
        <v>0.05</v>
      </c>
      <c r="Q175" s="15">
        <v>84.48</v>
      </c>
      <c r="R175" s="15">
        <f t="shared" si="11"/>
        <v>253.36499999999998</v>
      </c>
      <c r="S175" s="15">
        <f t="shared" si="12"/>
        <v>168.96</v>
      </c>
      <c r="T175" s="15">
        <f t="shared" si="13"/>
        <v>84.404999999999973</v>
      </c>
      <c r="U175" s="17">
        <f t="shared" si="14"/>
        <v>0.33313598958024976</v>
      </c>
      <c r="V175" s="3">
        <v>3</v>
      </c>
      <c r="W175" s="12">
        <v>4</v>
      </c>
    </row>
    <row r="176" spans="1:23">
      <c r="A176" s="8" t="s">
        <v>260</v>
      </c>
      <c r="B176" s="10">
        <v>45872</v>
      </c>
      <c r="C176" s="10" t="str">
        <f>TEXT(SalesDataTable[[#This Row],[Order_Date]],"YYYY")</f>
        <v>2025</v>
      </c>
      <c r="D176" s="10" t="str">
        <f>TEXT(SalesDataTable[[#This Row],[Order_Date]],"MMM")</f>
        <v>Aug</v>
      </c>
      <c r="E176" t="str">
        <f t="shared" si="10"/>
        <v>Aug 2025</v>
      </c>
      <c r="F176" s="8" t="s">
        <v>44</v>
      </c>
      <c r="G176" s="8" t="s">
        <v>82</v>
      </c>
      <c r="H176" s="8" t="s">
        <v>83</v>
      </c>
      <c r="I176" s="8" t="s">
        <v>47</v>
      </c>
      <c r="J176" s="8" t="s">
        <v>78</v>
      </c>
      <c r="K176" s="8" t="s">
        <v>71</v>
      </c>
      <c r="L176" s="8" t="s">
        <v>50</v>
      </c>
      <c r="M176" s="8" t="s">
        <v>42</v>
      </c>
      <c r="N176" s="3">
        <v>3</v>
      </c>
      <c r="O176" s="15">
        <v>45.35</v>
      </c>
      <c r="P176" s="17">
        <v>0</v>
      </c>
      <c r="Q176" s="15">
        <v>25.45</v>
      </c>
      <c r="R176" s="15">
        <f t="shared" si="11"/>
        <v>136.05000000000001</v>
      </c>
      <c r="S176" s="15">
        <f t="shared" si="12"/>
        <v>76.349999999999994</v>
      </c>
      <c r="T176" s="15">
        <f t="shared" si="13"/>
        <v>59.700000000000017</v>
      </c>
      <c r="U176" s="17">
        <f t="shared" si="14"/>
        <v>0.43880926130099235</v>
      </c>
      <c r="V176" s="3">
        <v>8</v>
      </c>
      <c r="W176" s="12">
        <v>5</v>
      </c>
    </row>
    <row r="177" spans="1:23">
      <c r="A177" s="8" t="s">
        <v>261</v>
      </c>
      <c r="B177" s="10">
        <v>45841</v>
      </c>
      <c r="C177" s="10" t="str">
        <f>TEXT(SalesDataTable[[#This Row],[Order_Date]],"YYYY")</f>
        <v>2025</v>
      </c>
      <c r="D177" s="10" t="str">
        <f>TEXT(SalesDataTable[[#This Row],[Order_Date]],"MMM")</f>
        <v>Jul</v>
      </c>
      <c r="E177" t="str">
        <f t="shared" si="10"/>
        <v>Jul 2025</v>
      </c>
      <c r="F177" s="8" t="s">
        <v>44</v>
      </c>
      <c r="G177" s="8" t="s">
        <v>36</v>
      </c>
      <c r="H177" s="8" t="s">
        <v>53</v>
      </c>
      <c r="I177" s="8" t="s">
        <v>65</v>
      </c>
      <c r="J177" s="8" t="s">
        <v>87</v>
      </c>
      <c r="K177" s="8" t="s">
        <v>49</v>
      </c>
      <c r="L177" s="8" t="s">
        <v>67</v>
      </c>
      <c r="M177" s="8" t="s">
        <v>56</v>
      </c>
      <c r="N177" s="3">
        <v>23</v>
      </c>
      <c r="O177" s="15">
        <v>10.08</v>
      </c>
      <c r="P177" s="17">
        <v>0.05</v>
      </c>
      <c r="Q177" s="15">
        <v>4.6500000000000004</v>
      </c>
      <c r="R177" s="15">
        <f t="shared" si="11"/>
        <v>220.24799999999999</v>
      </c>
      <c r="S177" s="15">
        <f t="shared" si="12"/>
        <v>106.95</v>
      </c>
      <c r="T177" s="15">
        <f t="shared" si="13"/>
        <v>113.29799999999999</v>
      </c>
      <c r="U177" s="17">
        <f t="shared" si="14"/>
        <v>0.51441102756892232</v>
      </c>
      <c r="V177" s="3">
        <v>3</v>
      </c>
      <c r="W177" s="12">
        <v>3</v>
      </c>
    </row>
    <row r="178" spans="1:23">
      <c r="A178" s="8" t="s">
        <v>262</v>
      </c>
      <c r="B178" s="10">
        <v>45673</v>
      </c>
      <c r="C178" s="10" t="str">
        <f>TEXT(SalesDataTable[[#This Row],[Order_Date]],"YYYY")</f>
        <v>2025</v>
      </c>
      <c r="D178" s="10" t="str">
        <f>TEXT(SalesDataTable[[#This Row],[Order_Date]],"MMM")</f>
        <v>Jan</v>
      </c>
      <c r="E178" t="str">
        <f t="shared" si="10"/>
        <v>Jan 2025</v>
      </c>
      <c r="F178" s="8" t="s">
        <v>44</v>
      </c>
      <c r="G178" s="8" t="s">
        <v>82</v>
      </c>
      <c r="H178" s="8" t="s">
        <v>103</v>
      </c>
      <c r="I178" s="8" t="s">
        <v>65</v>
      </c>
      <c r="J178" s="8" t="s">
        <v>92</v>
      </c>
      <c r="K178" s="8" t="s">
        <v>71</v>
      </c>
      <c r="L178" s="8" t="s">
        <v>67</v>
      </c>
      <c r="M178" s="8" t="s">
        <v>42</v>
      </c>
      <c r="N178" s="3">
        <v>25</v>
      </c>
      <c r="O178" s="15">
        <v>19.260000000000002</v>
      </c>
      <c r="P178" s="17">
        <v>0.05</v>
      </c>
      <c r="Q178" s="15">
        <v>9.99</v>
      </c>
      <c r="R178" s="15">
        <f t="shared" si="11"/>
        <v>457.42500000000001</v>
      </c>
      <c r="S178" s="15">
        <f t="shared" si="12"/>
        <v>249.75</v>
      </c>
      <c r="T178" s="15">
        <f t="shared" si="13"/>
        <v>207.67500000000001</v>
      </c>
      <c r="U178" s="17">
        <f t="shared" si="14"/>
        <v>0.45400885391047713</v>
      </c>
      <c r="V178" s="3">
        <v>2</v>
      </c>
      <c r="W178" s="12">
        <v>4</v>
      </c>
    </row>
    <row r="179" spans="1:23">
      <c r="A179" s="8" t="s">
        <v>263</v>
      </c>
      <c r="B179" s="10">
        <v>45936</v>
      </c>
      <c r="C179" s="10" t="str">
        <f>TEXT(SalesDataTable[[#This Row],[Order_Date]],"YYYY")</f>
        <v>2025</v>
      </c>
      <c r="D179" s="10" t="str">
        <f>TEXT(SalesDataTable[[#This Row],[Order_Date]],"MMM")</f>
        <v>Oct</v>
      </c>
      <c r="E179" t="str">
        <f t="shared" si="10"/>
        <v>Oct 2025</v>
      </c>
      <c r="F179" s="8" t="s">
        <v>44</v>
      </c>
      <c r="G179" s="8" t="s">
        <v>63</v>
      </c>
      <c r="H179" s="8" t="s">
        <v>98</v>
      </c>
      <c r="I179" s="8" t="s">
        <v>54</v>
      </c>
      <c r="J179" s="8" t="s">
        <v>96</v>
      </c>
      <c r="K179" s="8" t="s">
        <v>71</v>
      </c>
      <c r="L179" s="8" t="s">
        <v>50</v>
      </c>
      <c r="M179" s="8" t="s">
        <v>56</v>
      </c>
      <c r="N179" s="3">
        <v>5</v>
      </c>
      <c r="O179" s="15">
        <v>50.97</v>
      </c>
      <c r="P179" s="17">
        <v>0</v>
      </c>
      <c r="Q179" s="15">
        <v>28.69</v>
      </c>
      <c r="R179" s="15">
        <f t="shared" si="11"/>
        <v>254.85</v>
      </c>
      <c r="S179" s="15">
        <f t="shared" si="12"/>
        <v>143.45000000000002</v>
      </c>
      <c r="T179" s="15">
        <f t="shared" si="13"/>
        <v>111.39999999999998</v>
      </c>
      <c r="U179" s="17">
        <f t="shared" si="14"/>
        <v>0.43711987443594263</v>
      </c>
      <c r="V179" s="3">
        <v>1</v>
      </c>
      <c r="W179" s="12">
        <v>4</v>
      </c>
    </row>
    <row r="180" spans="1:23">
      <c r="A180" s="8" t="s">
        <v>264</v>
      </c>
      <c r="B180" s="10">
        <v>45836</v>
      </c>
      <c r="C180" s="10" t="str">
        <f>TEXT(SalesDataTable[[#This Row],[Order_Date]],"YYYY")</f>
        <v>2025</v>
      </c>
      <c r="D180" s="10" t="str">
        <f>TEXT(SalesDataTable[[#This Row],[Order_Date]],"MMM")</f>
        <v>Jun</v>
      </c>
      <c r="E180" t="str">
        <f t="shared" si="10"/>
        <v>Jun 2025</v>
      </c>
      <c r="F180" s="8" t="s">
        <v>44</v>
      </c>
      <c r="G180" s="8" t="s">
        <v>36</v>
      </c>
      <c r="H180" s="8" t="s">
        <v>53</v>
      </c>
      <c r="I180" s="8" t="s">
        <v>54</v>
      </c>
      <c r="J180" s="8" t="s">
        <v>96</v>
      </c>
      <c r="K180" s="8" t="s">
        <v>71</v>
      </c>
      <c r="L180" s="8" t="s">
        <v>76</v>
      </c>
      <c r="M180" s="8" t="s">
        <v>51</v>
      </c>
      <c r="N180" s="3">
        <v>21</v>
      </c>
      <c r="O180" s="15">
        <v>49.88</v>
      </c>
      <c r="P180" s="17">
        <v>0</v>
      </c>
      <c r="Q180" s="15">
        <v>26.5</v>
      </c>
      <c r="R180" s="15">
        <f t="shared" si="11"/>
        <v>1047.48</v>
      </c>
      <c r="S180" s="15">
        <f t="shared" si="12"/>
        <v>556.5</v>
      </c>
      <c r="T180" s="15">
        <f t="shared" si="13"/>
        <v>490.98</v>
      </c>
      <c r="U180" s="17">
        <f t="shared" si="14"/>
        <v>0.46872493985565356</v>
      </c>
      <c r="V180" s="3">
        <v>4</v>
      </c>
      <c r="W180" s="12">
        <v>5</v>
      </c>
    </row>
    <row r="181" spans="1:23">
      <c r="A181" s="8" t="s">
        <v>265</v>
      </c>
      <c r="B181" s="10">
        <v>45688</v>
      </c>
      <c r="C181" s="10" t="str">
        <f>TEXT(SalesDataTable[[#This Row],[Order_Date]],"YYYY")</f>
        <v>2025</v>
      </c>
      <c r="D181" s="10" t="str">
        <f>TEXT(SalesDataTable[[#This Row],[Order_Date]],"MMM")</f>
        <v>Jan</v>
      </c>
      <c r="E181" t="str">
        <f t="shared" si="10"/>
        <v>Jan 2025</v>
      </c>
      <c r="F181" s="8" t="s">
        <v>35</v>
      </c>
      <c r="G181" s="8" t="s">
        <v>63</v>
      </c>
      <c r="H181" s="8" t="s">
        <v>98</v>
      </c>
      <c r="I181" s="8" t="s">
        <v>47</v>
      </c>
      <c r="J181" s="8" t="s">
        <v>78</v>
      </c>
      <c r="K181" s="8" t="s">
        <v>40</v>
      </c>
      <c r="L181" s="8" t="s">
        <v>76</v>
      </c>
      <c r="M181" s="8" t="s">
        <v>42</v>
      </c>
      <c r="N181" s="3">
        <v>5</v>
      </c>
      <c r="O181" s="15">
        <v>49.93</v>
      </c>
      <c r="P181" s="17">
        <v>0.15</v>
      </c>
      <c r="Q181" s="15">
        <v>27.06</v>
      </c>
      <c r="R181" s="15">
        <f t="shared" si="11"/>
        <v>212.20249999999999</v>
      </c>
      <c r="S181" s="15">
        <f t="shared" si="12"/>
        <v>135.29999999999998</v>
      </c>
      <c r="T181" s="15">
        <f t="shared" si="13"/>
        <v>76.902500000000003</v>
      </c>
      <c r="U181" s="17">
        <f t="shared" si="14"/>
        <v>0.36240147971866499</v>
      </c>
      <c r="V181" s="3">
        <v>2</v>
      </c>
      <c r="W181" s="12">
        <v>4</v>
      </c>
    </row>
    <row r="182" spans="1:23">
      <c r="A182" s="8" t="s">
        <v>266</v>
      </c>
      <c r="B182" s="10">
        <v>45868</v>
      </c>
      <c r="C182" s="10" t="str">
        <f>TEXT(SalesDataTable[[#This Row],[Order_Date]],"YYYY")</f>
        <v>2025</v>
      </c>
      <c r="D182" s="10" t="str">
        <f>TEXT(SalesDataTable[[#This Row],[Order_Date]],"MMM")</f>
        <v>Jul</v>
      </c>
      <c r="E182" t="str">
        <f t="shared" si="10"/>
        <v>Jul 2025</v>
      </c>
      <c r="F182" s="8" t="s">
        <v>44</v>
      </c>
      <c r="G182" s="8" t="s">
        <v>36</v>
      </c>
      <c r="H182" s="8" t="s">
        <v>53</v>
      </c>
      <c r="I182" s="8" t="s">
        <v>54</v>
      </c>
      <c r="J182" s="8" t="s">
        <v>70</v>
      </c>
      <c r="K182" s="8" t="s">
        <v>71</v>
      </c>
      <c r="L182" s="8" t="s">
        <v>50</v>
      </c>
      <c r="M182" s="8" t="s">
        <v>51</v>
      </c>
      <c r="N182" s="3">
        <v>12</v>
      </c>
      <c r="O182" s="15">
        <v>70.349999999999994</v>
      </c>
      <c r="P182" s="17">
        <v>0.1</v>
      </c>
      <c r="Q182" s="15">
        <v>39.590000000000003</v>
      </c>
      <c r="R182" s="15">
        <f t="shared" si="11"/>
        <v>759.78</v>
      </c>
      <c r="S182" s="15">
        <f t="shared" si="12"/>
        <v>475.08000000000004</v>
      </c>
      <c r="T182" s="15">
        <f t="shared" si="13"/>
        <v>284.69999999999993</v>
      </c>
      <c r="U182" s="17">
        <f t="shared" si="14"/>
        <v>0.37471373292268806</v>
      </c>
      <c r="V182" s="3">
        <v>8</v>
      </c>
      <c r="W182" s="12">
        <v>4</v>
      </c>
    </row>
    <row r="183" spans="1:23">
      <c r="A183" s="8" t="s">
        <v>267</v>
      </c>
      <c r="B183" s="10">
        <v>45981</v>
      </c>
      <c r="C183" s="10" t="str">
        <f>TEXT(SalesDataTable[[#This Row],[Order_Date]],"YYYY")</f>
        <v>2025</v>
      </c>
      <c r="D183" s="10" t="str">
        <f>TEXT(SalesDataTable[[#This Row],[Order_Date]],"MMM")</f>
        <v>Nov</v>
      </c>
      <c r="E183" t="str">
        <f t="shared" si="10"/>
        <v>Nov 2025</v>
      </c>
      <c r="F183" s="8" t="s">
        <v>35</v>
      </c>
      <c r="G183" s="8" t="s">
        <v>63</v>
      </c>
      <c r="H183" s="8" t="s">
        <v>98</v>
      </c>
      <c r="I183" s="8" t="s">
        <v>47</v>
      </c>
      <c r="J183" s="8" t="s">
        <v>137</v>
      </c>
      <c r="K183" s="8" t="s">
        <v>40</v>
      </c>
      <c r="L183" s="8" t="s">
        <v>41</v>
      </c>
      <c r="M183" s="8" t="s">
        <v>56</v>
      </c>
      <c r="N183" s="3">
        <v>9</v>
      </c>
      <c r="O183" s="15">
        <v>58.57</v>
      </c>
      <c r="P183" s="17">
        <v>0.15</v>
      </c>
      <c r="Q183" s="15">
        <v>33</v>
      </c>
      <c r="R183" s="15">
        <f t="shared" si="11"/>
        <v>448.06049999999999</v>
      </c>
      <c r="S183" s="15">
        <f t="shared" si="12"/>
        <v>297</v>
      </c>
      <c r="T183" s="15">
        <f t="shared" si="13"/>
        <v>151.06049999999999</v>
      </c>
      <c r="U183" s="17">
        <f t="shared" si="14"/>
        <v>0.33714308670369292</v>
      </c>
      <c r="V183" s="3">
        <v>8</v>
      </c>
      <c r="W183" s="12">
        <v>5</v>
      </c>
    </row>
    <row r="184" spans="1:23">
      <c r="A184" s="8" t="s">
        <v>268</v>
      </c>
      <c r="B184" s="10">
        <v>45825</v>
      </c>
      <c r="C184" s="10" t="str">
        <f>TEXT(SalesDataTable[[#This Row],[Order_Date]],"YYYY")</f>
        <v>2025</v>
      </c>
      <c r="D184" s="10" t="str">
        <f>TEXT(SalesDataTable[[#This Row],[Order_Date]],"MMM")</f>
        <v>Jun</v>
      </c>
      <c r="E184" t="str">
        <f t="shared" si="10"/>
        <v>Jun 2025</v>
      </c>
      <c r="F184" s="8" t="s">
        <v>35</v>
      </c>
      <c r="G184" s="8" t="s">
        <v>36</v>
      </c>
      <c r="H184" s="8" t="s">
        <v>61</v>
      </c>
      <c r="I184" s="8" t="s">
        <v>65</v>
      </c>
      <c r="J184" s="8" t="s">
        <v>87</v>
      </c>
      <c r="K184" s="8" t="s">
        <v>71</v>
      </c>
      <c r="L184" s="8" t="s">
        <v>41</v>
      </c>
      <c r="M184" s="8" t="s">
        <v>42</v>
      </c>
      <c r="N184" s="3">
        <v>14</v>
      </c>
      <c r="O184" s="15">
        <v>9.48</v>
      </c>
      <c r="P184" s="17">
        <v>0</v>
      </c>
      <c r="Q184" s="15">
        <v>4.45</v>
      </c>
      <c r="R184" s="15">
        <f t="shared" si="11"/>
        <v>132.72</v>
      </c>
      <c r="S184" s="15">
        <f t="shared" si="12"/>
        <v>62.300000000000004</v>
      </c>
      <c r="T184" s="15">
        <f t="shared" si="13"/>
        <v>70.419999999999987</v>
      </c>
      <c r="U184" s="17">
        <f t="shared" si="14"/>
        <v>0.53059071729957796</v>
      </c>
      <c r="V184" s="3">
        <v>5</v>
      </c>
      <c r="W184" s="12">
        <v>4</v>
      </c>
    </row>
    <row r="185" spans="1:23">
      <c r="A185" s="8" t="s">
        <v>269</v>
      </c>
      <c r="B185" s="10">
        <v>45803</v>
      </c>
      <c r="C185" s="10" t="str">
        <f>TEXT(SalesDataTable[[#This Row],[Order_Date]],"YYYY")</f>
        <v>2025</v>
      </c>
      <c r="D185" s="10" t="str">
        <f>TEXT(SalesDataTable[[#This Row],[Order_Date]],"MMM")</f>
        <v>May</v>
      </c>
      <c r="E185" t="str">
        <f t="shared" si="10"/>
        <v>May 2025</v>
      </c>
      <c r="F185" s="8" t="s">
        <v>58</v>
      </c>
      <c r="G185" s="8" t="s">
        <v>63</v>
      </c>
      <c r="H185" s="8" t="s">
        <v>98</v>
      </c>
      <c r="I185" s="8" t="s">
        <v>47</v>
      </c>
      <c r="J185" s="8" t="s">
        <v>137</v>
      </c>
      <c r="K185" s="8" t="s">
        <v>71</v>
      </c>
      <c r="L185" s="8" t="s">
        <v>41</v>
      </c>
      <c r="M185" s="8" t="s">
        <v>72</v>
      </c>
      <c r="N185" s="3">
        <v>2</v>
      </c>
      <c r="O185" s="15">
        <v>57.08</v>
      </c>
      <c r="P185" s="17">
        <v>0</v>
      </c>
      <c r="Q185" s="15">
        <v>33.72</v>
      </c>
      <c r="R185" s="15">
        <f t="shared" si="11"/>
        <v>114.16</v>
      </c>
      <c r="S185" s="15">
        <f t="shared" si="12"/>
        <v>67.44</v>
      </c>
      <c r="T185" s="15">
        <f t="shared" si="13"/>
        <v>46.72</v>
      </c>
      <c r="U185" s="17">
        <f t="shared" si="14"/>
        <v>0.40925017519271201</v>
      </c>
      <c r="V185" s="3">
        <v>3</v>
      </c>
      <c r="W185" s="12">
        <v>4</v>
      </c>
    </row>
    <row r="186" spans="1:23">
      <c r="A186" s="8" t="s">
        <v>270</v>
      </c>
      <c r="B186" s="10">
        <v>45658</v>
      </c>
      <c r="C186" s="10" t="str">
        <f>TEXT(SalesDataTable[[#This Row],[Order_Date]],"YYYY")</f>
        <v>2025</v>
      </c>
      <c r="D186" s="10" t="str">
        <f>TEXT(SalesDataTable[[#This Row],[Order_Date]],"MMM")</f>
        <v>Jan</v>
      </c>
      <c r="E186" t="str">
        <f t="shared" si="10"/>
        <v>Jan 2025</v>
      </c>
      <c r="F186" s="8" t="s">
        <v>44</v>
      </c>
      <c r="G186" s="8" t="s">
        <v>45</v>
      </c>
      <c r="H186" s="8" t="s">
        <v>46</v>
      </c>
      <c r="I186" s="8" t="s">
        <v>54</v>
      </c>
      <c r="J186" s="8" t="s">
        <v>70</v>
      </c>
      <c r="K186" s="8" t="s">
        <v>49</v>
      </c>
      <c r="L186" s="8" t="s">
        <v>76</v>
      </c>
      <c r="M186" s="8" t="s">
        <v>72</v>
      </c>
      <c r="N186" s="3">
        <v>22</v>
      </c>
      <c r="O186" s="15">
        <v>63.65</v>
      </c>
      <c r="P186" s="17">
        <v>0.1</v>
      </c>
      <c r="Q186" s="15">
        <v>35.46</v>
      </c>
      <c r="R186" s="15">
        <f t="shared" si="11"/>
        <v>1260.27</v>
      </c>
      <c r="S186" s="15">
        <f t="shared" si="12"/>
        <v>780.12</v>
      </c>
      <c r="T186" s="15">
        <f t="shared" si="13"/>
        <v>480.15</v>
      </c>
      <c r="U186" s="17">
        <f t="shared" si="14"/>
        <v>0.3809897879025923</v>
      </c>
      <c r="V186" s="3">
        <v>3</v>
      </c>
      <c r="W186" s="12">
        <v>3</v>
      </c>
    </row>
    <row r="187" spans="1:23">
      <c r="A187" s="8" t="s">
        <v>271</v>
      </c>
      <c r="B187" s="10">
        <v>45978</v>
      </c>
      <c r="C187" s="10" t="str">
        <f>TEXT(SalesDataTable[[#This Row],[Order_Date]],"YYYY")</f>
        <v>2025</v>
      </c>
      <c r="D187" s="10" t="str">
        <f>TEXT(SalesDataTable[[#This Row],[Order_Date]],"MMM")</f>
        <v>Nov</v>
      </c>
      <c r="E187" t="str">
        <f t="shared" si="10"/>
        <v>Nov 2025</v>
      </c>
      <c r="F187" s="8" t="s">
        <v>44</v>
      </c>
      <c r="G187" s="8" t="s">
        <v>63</v>
      </c>
      <c r="H187" s="8" t="s">
        <v>98</v>
      </c>
      <c r="I187" s="8" t="s">
        <v>38</v>
      </c>
      <c r="J187" s="8" t="s">
        <v>39</v>
      </c>
      <c r="K187" s="8" t="s">
        <v>40</v>
      </c>
      <c r="L187" s="8" t="s">
        <v>41</v>
      </c>
      <c r="M187" s="8" t="s">
        <v>72</v>
      </c>
      <c r="N187" s="3">
        <v>4</v>
      </c>
      <c r="O187" s="15">
        <v>261.27</v>
      </c>
      <c r="P187" s="17">
        <v>0</v>
      </c>
      <c r="Q187" s="15">
        <v>160.01</v>
      </c>
      <c r="R187" s="15">
        <f t="shared" si="11"/>
        <v>1045.08</v>
      </c>
      <c r="S187" s="15">
        <f t="shared" si="12"/>
        <v>640.04</v>
      </c>
      <c r="T187" s="15">
        <f t="shared" si="13"/>
        <v>405.03999999999996</v>
      </c>
      <c r="U187" s="17">
        <f t="shared" si="14"/>
        <v>0.38756841581505719</v>
      </c>
      <c r="V187" s="3">
        <v>8</v>
      </c>
      <c r="W187" s="12">
        <v>3</v>
      </c>
    </row>
    <row r="188" spans="1:23">
      <c r="A188" s="8" t="s">
        <v>272</v>
      </c>
      <c r="B188" s="10">
        <v>46014</v>
      </c>
      <c r="C188" s="10" t="str">
        <f>TEXT(SalesDataTable[[#This Row],[Order_Date]],"YYYY")</f>
        <v>2025</v>
      </c>
      <c r="D188" s="10" t="str">
        <f>TEXT(SalesDataTable[[#This Row],[Order_Date]],"MMM")</f>
        <v>Dec</v>
      </c>
      <c r="E188" t="str">
        <f t="shared" si="10"/>
        <v>Dec 2025</v>
      </c>
      <c r="F188" s="8" t="s">
        <v>44</v>
      </c>
      <c r="G188" s="8" t="s">
        <v>63</v>
      </c>
      <c r="H188" s="8" t="s">
        <v>64</v>
      </c>
      <c r="I188" s="8" t="s">
        <v>54</v>
      </c>
      <c r="J188" s="8" t="s">
        <v>130</v>
      </c>
      <c r="K188" s="8" t="s">
        <v>71</v>
      </c>
      <c r="L188" s="8" t="s">
        <v>50</v>
      </c>
      <c r="M188" s="8" t="s">
        <v>56</v>
      </c>
      <c r="N188" s="3">
        <v>4</v>
      </c>
      <c r="O188" s="15">
        <v>42.43</v>
      </c>
      <c r="P188" s="17">
        <v>0</v>
      </c>
      <c r="Q188" s="15">
        <v>22.47</v>
      </c>
      <c r="R188" s="15">
        <f t="shared" si="11"/>
        <v>169.72</v>
      </c>
      <c r="S188" s="15">
        <f t="shared" si="12"/>
        <v>89.88</v>
      </c>
      <c r="T188" s="15">
        <f t="shared" si="13"/>
        <v>79.84</v>
      </c>
      <c r="U188" s="17">
        <f t="shared" si="14"/>
        <v>0.4704218713174641</v>
      </c>
      <c r="V188" s="3">
        <v>5</v>
      </c>
      <c r="W188" s="12">
        <v>4</v>
      </c>
    </row>
    <row r="189" spans="1:23">
      <c r="A189" s="8" t="s">
        <v>273</v>
      </c>
      <c r="B189" s="10">
        <v>45726</v>
      </c>
      <c r="C189" s="10" t="str">
        <f>TEXT(SalesDataTable[[#This Row],[Order_Date]],"YYYY")</f>
        <v>2025</v>
      </c>
      <c r="D189" s="10" t="str">
        <f>TEXT(SalesDataTable[[#This Row],[Order_Date]],"MMM")</f>
        <v>Mar</v>
      </c>
      <c r="E189" t="str">
        <f t="shared" si="10"/>
        <v>Mar 2025</v>
      </c>
      <c r="F189" s="8" t="s">
        <v>44</v>
      </c>
      <c r="G189" s="8" t="s">
        <v>82</v>
      </c>
      <c r="H189" s="8" t="s">
        <v>89</v>
      </c>
      <c r="I189" s="8" t="s">
        <v>47</v>
      </c>
      <c r="J189" s="8" t="s">
        <v>105</v>
      </c>
      <c r="K189" s="8" t="s">
        <v>71</v>
      </c>
      <c r="L189" s="8" t="s">
        <v>76</v>
      </c>
      <c r="M189" s="8" t="s">
        <v>51</v>
      </c>
      <c r="N189" s="3">
        <v>4</v>
      </c>
      <c r="O189" s="15">
        <v>36.340000000000003</v>
      </c>
      <c r="P189" s="17">
        <v>0.05</v>
      </c>
      <c r="Q189" s="15">
        <v>18.88</v>
      </c>
      <c r="R189" s="15">
        <f t="shared" si="11"/>
        <v>138.09200000000001</v>
      </c>
      <c r="S189" s="15">
        <f t="shared" si="12"/>
        <v>75.52</v>
      </c>
      <c r="T189" s="15">
        <f t="shared" si="13"/>
        <v>62.572000000000017</v>
      </c>
      <c r="U189" s="17">
        <f t="shared" si="14"/>
        <v>0.45311821104770739</v>
      </c>
      <c r="V189" s="3">
        <v>8</v>
      </c>
      <c r="W189" s="12">
        <v>5</v>
      </c>
    </row>
    <row r="190" spans="1:23">
      <c r="A190" s="8" t="s">
        <v>274</v>
      </c>
      <c r="B190" s="10">
        <v>45702</v>
      </c>
      <c r="C190" s="10" t="str">
        <f>TEXT(SalesDataTable[[#This Row],[Order_Date]],"YYYY")</f>
        <v>2025</v>
      </c>
      <c r="D190" s="10" t="str">
        <f>TEXT(SalesDataTable[[#This Row],[Order_Date]],"MMM")</f>
        <v>Feb</v>
      </c>
      <c r="E190" t="str">
        <f t="shared" si="10"/>
        <v>Feb 2025</v>
      </c>
      <c r="F190" s="8" t="s">
        <v>44</v>
      </c>
      <c r="G190" s="8" t="s">
        <v>36</v>
      </c>
      <c r="H190" s="8" t="s">
        <v>37</v>
      </c>
      <c r="I190" s="8" t="s">
        <v>38</v>
      </c>
      <c r="J190" s="8" t="s">
        <v>186</v>
      </c>
      <c r="K190" s="8" t="s">
        <v>40</v>
      </c>
      <c r="L190" s="8" t="s">
        <v>50</v>
      </c>
      <c r="M190" s="8" t="s">
        <v>68</v>
      </c>
      <c r="N190" s="3">
        <v>5</v>
      </c>
      <c r="O190" s="15">
        <v>182.32</v>
      </c>
      <c r="P190" s="17">
        <v>0.05</v>
      </c>
      <c r="Q190" s="15">
        <v>110.37</v>
      </c>
      <c r="R190" s="15">
        <f t="shared" si="11"/>
        <v>866.01999999999987</v>
      </c>
      <c r="S190" s="15">
        <f t="shared" si="12"/>
        <v>551.85</v>
      </c>
      <c r="T190" s="15">
        <f t="shared" si="13"/>
        <v>314.16999999999985</v>
      </c>
      <c r="U190" s="17">
        <f t="shared" si="14"/>
        <v>0.36277453176600988</v>
      </c>
      <c r="V190" s="3">
        <v>5</v>
      </c>
      <c r="W190" s="12">
        <v>5</v>
      </c>
    </row>
    <row r="191" spans="1:23">
      <c r="A191" s="8" t="s">
        <v>275</v>
      </c>
      <c r="B191" s="10">
        <v>46011</v>
      </c>
      <c r="C191" s="10" t="str">
        <f>TEXT(SalesDataTable[[#This Row],[Order_Date]],"YYYY")</f>
        <v>2025</v>
      </c>
      <c r="D191" s="10" t="str">
        <f>TEXT(SalesDataTable[[#This Row],[Order_Date]],"MMM")</f>
        <v>Dec</v>
      </c>
      <c r="E191" t="str">
        <f t="shared" si="10"/>
        <v>Dec 2025</v>
      </c>
      <c r="F191" s="8" t="s">
        <v>44</v>
      </c>
      <c r="G191" s="8" t="s">
        <v>36</v>
      </c>
      <c r="H191" s="8" t="s">
        <v>61</v>
      </c>
      <c r="I191" s="8" t="s">
        <v>54</v>
      </c>
      <c r="J191" s="8" t="s">
        <v>70</v>
      </c>
      <c r="K191" s="8" t="s">
        <v>71</v>
      </c>
      <c r="L191" s="8" t="s">
        <v>67</v>
      </c>
      <c r="M191" s="8" t="s">
        <v>85</v>
      </c>
      <c r="N191" s="3">
        <v>22</v>
      </c>
      <c r="O191" s="15">
        <v>59.28</v>
      </c>
      <c r="P191" s="17">
        <v>0.2</v>
      </c>
      <c r="Q191" s="15">
        <v>40.42</v>
      </c>
      <c r="R191" s="15">
        <f t="shared" si="11"/>
        <v>1043.3280000000002</v>
      </c>
      <c r="S191" s="15">
        <f t="shared" si="12"/>
        <v>889.24</v>
      </c>
      <c r="T191" s="15">
        <f t="shared" si="13"/>
        <v>154.08800000000019</v>
      </c>
      <c r="U191" s="17">
        <f t="shared" si="14"/>
        <v>0.14768893387314455</v>
      </c>
      <c r="V191" s="3">
        <v>8</v>
      </c>
      <c r="W191" s="12">
        <v>4</v>
      </c>
    </row>
    <row r="192" spans="1:23">
      <c r="A192" s="8" t="s">
        <v>276</v>
      </c>
      <c r="B192" s="10">
        <v>45781</v>
      </c>
      <c r="C192" s="10" t="str">
        <f>TEXT(SalesDataTable[[#This Row],[Order_Date]],"YYYY")</f>
        <v>2025</v>
      </c>
      <c r="D192" s="10" t="str">
        <f>TEXT(SalesDataTable[[#This Row],[Order_Date]],"MMM")</f>
        <v>May</v>
      </c>
      <c r="E192" t="str">
        <f t="shared" si="10"/>
        <v>May 2025</v>
      </c>
      <c r="F192" s="8" t="s">
        <v>58</v>
      </c>
      <c r="G192" s="8" t="s">
        <v>45</v>
      </c>
      <c r="H192" s="8" t="s">
        <v>74</v>
      </c>
      <c r="I192" s="8" t="s">
        <v>38</v>
      </c>
      <c r="J192" s="8" t="s">
        <v>80</v>
      </c>
      <c r="K192" s="8" t="s">
        <v>49</v>
      </c>
      <c r="L192" s="8" t="s">
        <v>50</v>
      </c>
      <c r="M192" s="8" t="s">
        <v>56</v>
      </c>
      <c r="N192" s="3">
        <v>7</v>
      </c>
      <c r="O192" s="15">
        <v>117.65</v>
      </c>
      <c r="P192" s="17">
        <v>0.1</v>
      </c>
      <c r="Q192" s="15">
        <v>77.2</v>
      </c>
      <c r="R192" s="15">
        <f t="shared" si="11"/>
        <v>741.19500000000005</v>
      </c>
      <c r="S192" s="15">
        <f t="shared" si="12"/>
        <v>540.4</v>
      </c>
      <c r="T192" s="15">
        <f t="shared" si="13"/>
        <v>200.79500000000007</v>
      </c>
      <c r="U192" s="17">
        <f t="shared" si="14"/>
        <v>0.27090711621098368</v>
      </c>
      <c r="V192" s="3">
        <v>2</v>
      </c>
      <c r="W192" s="12">
        <v>3</v>
      </c>
    </row>
    <row r="193" spans="1:23">
      <c r="A193" s="8" t="s">
        <v>277</v>
      </c>
      <c r="B193" s="10">
        <v>45692</v>
      </c>
      <c r="C193" s="10" t="str">
        <f>TEXT(SalesDataTable[[#This Row],[Order_Date]],"YYYY")</f>
        <v>2025</v>
      </c>
      <c r="D193" s="10" t="str">
        <f>TEXT(SalesDataTable[[#This Row],[Order_Date]],"MMM")</f>
        <v>Feb</v>
      </c>
      <c r="E193" t="str">
        <f t="shared" si="10"/>
        <v>Feb 2025</v>
      </c>
      <c r="F193" s="8" t="s">
        <v>44</v>
      </c>
      <c r="G193" s="8" t="s">
        <v>36</v>
      </c>
      <c r="H193" s="8" t="s">
        <v>53</v>
      </c>
      <c r="I193" s="8" t="s">
        <v>65</v>
      </c>
      <c r="J193" s="8" t="s">
        <v>75</v>
      </c>
      <c r="K193" s="8" t="s">
        <v>49</v>
      </c>
      <c r="L193" s="8" t="s">
        <v>76</v>
      </c>
      <c r="M193" s="8" t="s">
        <v>51</v>
      </c>
      <c r="N193" s="3">
        <v>24</v>
      </c>
      <c r="O193" s="15">
        <v>12.12</v>
      </c>
      <c r="P193" s="17">
        <v>0.1</v>
      </c>
      <c r="Q193" s="15">
        <v>6.41</v>
      </c>
      <c r="R193" s="15">
        <f t="shared" si="11"/>
        <v>261.79200000000003</v>
      </c>
      <c r="S193" s="15">
        <f t="shared" si="12"/>
        <v>153.84</v>
      </c>
      <c r="T193" s="15">
        <f t="shared" si="13"/>
        <v>107.95200000000003</v>
      </c>
      <c r="U193" s="17">
        <f t="shared" si="14"/>
        <v>0.4123579024569124</v>
      </c>
      <c r="V193" s="3">
        <v>2</v>
      </c>
      <c r="W193" s="12">
        <v>5</v>
      </c>
    </row>
    <row r="194" spans="1:23">
      <c r="A194" s="8" t="s">
        <v>278</v>
      </c>
      <c r="B194" s="10">
        <v>45933</v>
      </c>
      <c r="C194" s="10" t="str">
        <f>TEXT(SalesDataTable[[#This Row],[Order_Date]],"YYYY")</f>
        <v>2025</v>
      </c>
      <c r="D194" s="10" t="str">
        <f>TEXT(SalesDataTable[[#This Row],[Order_Date]],"MMM")</f>
        <v>Oct</v>
      </c>
      <c r="E194" t="str">
        <f t="shared" ref="E194:E241" si="15">TEXT(B194,"mmm yyyy")</f>
        <v>Oct 2025</v>
      </c>
      <c r="F194" s="8" t="s">
        <v>44</v>
      </c>
      <c r="G194" s="8" t="s">
        <v>82</v>
      </c>
      <c r="H194" s="8" t="s">
        <v>103</v>
      </c>
      <c r="I194" s="8" t="s">
        <v>65</v>
      </c>
      <c r="J194" s="8" t="s">
        <v>75</v>
      </c>
      <c r="K194" s="8" t="s">
        <v>71</v>
      </c>
      <c r="L194" s="8" t="s">
        <v>50</v>
      </c>
      <c r="M194" s="8" t="s">
        <v>42</v>
      </c>
      <c r="N194" s="3">
        <v>12</v>
      </c>
      <c r="O194" s="15">
        <v>11.83</v>
      </c>
      <c r="P194" s="17">
        <v>0.1</v>
      </c>
      <c r="Q194" s="15">
        <v>6.64</v>
      </c>
      <c r="R194" s="15">
        <f t="shared" ref="R194:R241" si="16">N194*O194*(1-P194)</f>
        <v>127.76400000000001</v>
      </c>
      <c r="S194" s="15">
        <f t="shared" ref="S194:S241" si="17">N194*Q194</f>
        <v>79.679999999999993</v>
      </c>
      <c r="T194" s="15">
        <f t="shared" ref="T194:T241" si="18">R194-S194</f>
        <v>48.084000000000017</v>
      </c>
      <c r="U194" s="17">
        <f t="shared" ref="U194:U241" si="19">IFERROR(T194/R194,0)</f>
        <v>0.3763501455809149</v>
      </c>
      <c r="V194" s="3">
        <v>2</v>
      </c>
      <c r="W194" s="12">
        <v>4</v>
      </c>
    </row>
    <row r="195" spans="1:23">
      <c r="A195" s="8" t="s">
        <v>279</v>
      </c>
      <c r="B195" s="10">
        <v>45881</v>
      </c>
      <c r="C195" s="10" t="str">
        <f>TEXT(SalesDataTable[[#This Row],[Order_Date]],"YYYY")</f>
        <v>2025</v>
      </c>
      <c r="D195" s="10" t="str">
        <f>TEXT(SalesDataTable[[#This Row],[Order_Date]],"MMM")</f>
        <v>Aug</v>
      </c>
      <c r="E195" t="str">
        <f t="shared" si="15"/>
        <v>Aug 2025</v>
      </c>
      <c r="F195" s="8" t="s">
        <v>35</v>
      </c>
      <c r="G195" s="8" t="s">
        <v>82</v>
      </c>
      <c r="H195" s="8" t="s">
        <v>89</v>
      </c>
      <c r="I195" s="8" t="s">
        <v>65</v>
      </c>
      <c r="J195" s="8" t="s">
        <v>87</v>
      </c>
      <c r="K195" s="8" t="s">
        <v>40</v>
      </c>
      <c r="L195" s="8" t="s">
        <v>41</v>
      </c>
      <c r="M195" s="8" t="s">
        <v>85</v>
      </c>
      <c r="N195" s="3">
        <v>23</v>
      </c>
      <c r="O195" s="15">
        <v>10.63</v>
      </c>
      <c r="P195" s="17">
        <v>0</v>
      </c>
      <c r="Q195" s="15">
        <v>4.67</v>
      </c>
      <c r="R195" s="15">
        <f t="shared" si="16"/>
        <v>244.49</v>
      </c>
      <c r="S195" s="15">
        <f t="shared" si="17"/>
        <v>107.41</v>
      </c>
      <c r="T195" s="15">
        <f t="shared" si="18"/>
        <v>137.08000000000001</v>
      </c>
      <c r="U195" s="17">
        <f t="shared" si="19"/>
        <v>0.56067732831608663</v>
      </c>
      <c r="V195" s="3">
        <v>3</v>
      </c>
      <c r="W195" s="12">
        <v>5</v>
      </c>
    </row>
    <row r="196" spans="1:23">
      <c r="A196" s="8" t="s">
        <v>280</v>
      </c>
      <c r="B196" s="10">
        <v>45741</v>
      </c>
      <c r="C196" s="10" t="str">
        <f>TEXT(SalesDataTable[[#This Row],[Order_Date]],"YYYY")</f>
        <v>2025</v>
      </c>
      <c r="D196" s="10" t="str">
        <f>TEXT(SalesDataTable[[#This Row],[Order_Date]],"MMM")</f>
        <v>Mar</v>
      </c>
      <c r="E196" t="str">
        <f t="shared" si="15"/>
        <v>Mar 2025</v>
      </c>
      <c r="F196" s="8" t="s">
        <v>44</v>
      </c>
      <c r="G196" s="8" t="s">
        <v>45</v>
      </c>
      <c r="H196" s="8" t="s">
        <v>120</v>
      </c>
      <c r="I196" s="8" t="s">
        <v>47</v>
      </c>
      <c r="J196" s="8" t="s">
        <v>48</v>
      </c>
      <c r="K196" s="8" t="s">
        <v>40</v>
      </c>
      <c r="L196" s="8" t="s">
        <v>76</v>
      </c>
      <c r="M196" s="8" t="s">
        <v>51</v>
      </c>
      <c r="N196" s="3">
        <v>2</v>
      </c>
      <c r="O196" s="15">
        <v>23.53</v>
      </c>
      <c r="P196" s="17">
        <v>0.1</v>
      </c>
      <c r="Q196" s="15">
        <v>10.17</v>
      </c>
      <c r="R196" s="15">
        <f t="shared" si="16"/>
        <v>42.354000000000006</v>
      </c>
      <c r="S196" s="15">
        <f t="shared" si="17"/>
        <v>20.34</v>
      </c>
      <c r="T196" s="15">
        <f t="shared" si="18"/>
        <v>22.014000000000006</v>
      </c>
      <c r="U196" s="17">
        <f t="shared" si="19"/>
        <v>0.51976200594985134</v>
      </c>
      <c r="V196" s="3">
        <v>5</v>
      </c>
      <c r="W196" s="12">
        <v>4</v>
      </c>
    </row>
    <row r="197" spans="1:23">
      <c r="A197" s="8" t="s">
        <v>281</v>
      </c>
      <c r="B197" s="10">
        <v>45792</v>
      </c>
      <c r="C197" s="10" t="str">
        <f>TEXT(SalesDataTable[[#This Row],[Order_Date]],"YYYY")</f>
        <v>2025</v>
      </c>
      <c r="D197" s="10" t="str">
        <f>TEXT(SalesDataTable[[#This Row],[Order_Date]],"MMM")</f>
        <v>May</v>
      </c>
      <c r="E197" t="str">
        <f t="shared" si="15"/>
        <v>May 2025</v>
      </c>
      <c r="F197" s="8" t="s">
        <v>58</v>
      </c>
      <c r="G197" s="8" t="s">
        <v>36</v>
      </c>
      <c r="H197" s="8" t="s">
        <v>53</v>
      </c>
      <c r="I197" s="8" t="s">
        <v>47</v>
      </c>
      <c r="J197" s="8" t="s">
        <v>48</v>
      </c>
      <c r="K197" s="8" t="s">
        <v>40</v>
      </c>
      <c r="L197" s="8" t="s">
        <v>50</v>
      </c>
      <c r="M197" s="8" t="s">
        <v>85</v>
      </c>
      <c r="N197" s="3">
        <v>3</v>
      </c>
      <c r="O197" s="15">
        <v>21.03</v>
      </c>
      <c r="P197" s="17">
        <v>0.05</v>
      </c>
      <c r="Q197" s="15">
        <v>10.3</v>
      </c>
      <c r="R197" s="15">
        <f t="shared" si="16"/>
        <v>59.935499999999998</v>
      </c>
      <c r="S197" s="15">
        <f t="shared" si="17"/>
        <v>30.900000000000002</v>
      </c>
      <c r="T197" s="15">
        <f t="shared" si="18"/>
        <v>29.035499999999995</v>
      </c>
      <c r="U197" s="17">
        <f t="shared" si="19"/>
        <v>0.48444577921265353</v>
      </c>
      <c r="V197" s="3">
        <v>2</v>
      </c>
      <c r="W197" s="12">
        <v>4</v>
      </c>
    </row>
    <row r="198" spans="1:23">
      <c r="A198" s="8" t="s">
        <v>282</v>
      </c>
      <c r="B198" s="10">
        <v>45918</v>
      </c>
      <c r="C198" s="10" t="str">
        <f>TEXT(SalesDataTable[[#This Row],[Order_Date]],"YYYY")</f>
        <v>2025</v>
      </c>
      <c r="D198" s="10" t="str">
        <f>TEXT(SalesDataTable[[#This Row],[Order_Date]],"MMM")</f>
        <v>Sep</v>
      </c>
      <c r="E198" t="str">
        <f t="shared" si="15"/>
        <v>Sep 2025</v>
      </c>
      <c r="F198" s="8" t="s">
        <v>44</v>
      </c>
      <c r="G198" s="8" t="s">
        <v>36</v>
      </c>
      <c r="H198" s="8" t="s">
        <v>37</v>
      </c>
      <c r="I198" s="8" t="s">
        <v>54</v>
      </c>
      <c r="J198" s="8" t="s">
        <v>96</v>
      </c>
      <c r="K198" s="8" t="s">
        <v>40</v>
      </c>
      <c r="L198" s="8" t="s">
        <v>67</v>
      </c>
      <c r="M198" s="8" t="s">
        <v>68</v>
      </c>
      <c r="N198" s="3">
        <v>7</v>
      </c>
      <c r="O198" s="15">
        <v>53.03</v>
      </c>
      <c r="P198" s="17">
        <v>0.05</v>
      </c>
      <c r="Q198" s="15">
        <v>29.6</v>
      </c>
      <c r="R198" s="15">
        <f t="shared" si="16"/>
        <v>352.64950000000005</v>
      </c>
      <c r="S198" s="15">
        <f t="shared" si="17"/>
        <v>207.20000000000002</v>
      </c>
      <c r="T198" s="15">
        <f t="shared" si="18"/>
        <v>145.44950000000003</v>
      </c>
      <c r="U198" s="17">
        <f t="shared" si="19"/>
        <v>0.41244777037823677</v>
      </c>
      <c r="V198" s="3">
        <v>7</v>
      </c>
      <c r="W198" s="12">
        <v>4</v>
      </c>
    </row>
    <row r="199" spans="1:23">
      <c r="A199" s="8" t="s">
        <v>283</v>
      </c>
      <c r="B199" s="10">
        <v>45785</v>
      </c>
      <c r="C199" s="10" t="str">
        <f>TEXT(SalesDataTable[[#This Row],[Order_Date]],"YYYY")</f>
        <v>2025</v>
      </c>
      <c r="D199" s="10" t="str">
        <f>TEXT(SalesDataTable[[#This Row],[Order_Date]],"MMM")</f>
        <v>May</v>
      </c>
      <c r="E199" t="str">
        <f t="shared" si="15"/>
        <v>May 2025</v>
      </c>
      <c r="F199" s="8" t="s">
        <v>44</v>
      </c>
      <c r="G199" s="8" t="s">
        <v>45</v>
      </c>
      <c r="H199" s="8" t="s">
        <v>74</v>
      </c>
      <c r="I199" s="8" t="s">
        <v>47</v>
      </c>
      <c r="J199" s="8" t="s">
        <v>105</v>
      </c>
      <c r="K199" s="8" t="s">
        <v>71</v>
      </c>
      <c r="L199" s="8" t="s">
        <v>41</v>
      </c>
      <c r="M199" s="8" t="s">
        <v>68</v>
      </c>
      <c r="N199" s="3">
        <v>4</v>
      </c>
      <c r="O199" s="15">
        <v>37.69</v>
      </c>
      <c r="P199" s="17">
        <v>0.2</v>
      </c>
      <c r="Q199" s="15">
        <v>21.54</v>
      </c>
      <c r="R199" s="15">
        <f t="shared" si="16"/>
        <v>120.608</v>
      </c>
      <c r="S199" s="15">
        <f t="shared" si="17"/>
        <v>86.16</v>
      </c>
      <c r="T199" s="15">
        <f t="shared" si="18"/>
        <v>34.448000000000008</v>
      </c>
      <c r="U199" s="17">
        <f t="shared" si="19"/>
        <v>0.28561952772618737</v>
      </c>
      <c r="V199" s="3">
        <v>2</v>
      </c>
      <c r="W199" s="12">
        <v>5</v>
      </c>
    </row>
    <row r="200" spans="1:23">
      <c r="A200" s="8" t="s">
        <v>284</v>
      </c>
      <c r="B200" s="10">
        <v>45802</v>
      </c>
      <c r="C200" s="10" t="str">
        <f>TEXT(SalesDataTable[[#This Row],[Order_Date]],"YYYY")</f>
        <v>2025</v>
      </c>
      <c r="D200" s="10" t="str">
        <f>TEXT(SalesDataTable[[#This Row],[Order_Date]],"MMM")</f>
        <v>May</v>
      </c>
      <c r="E200" t="str">
        <f t="shared" si="15"/>
        <v>May 2025</v>
      </c>
      <c r="F200" s="8" t="s">
        <v>44</v>
      </c>
      <c r="G200" s="8" t="s">
        <v>63</v>
      </c>
      <c r="H200" s="8" t="s">
        <v>124</v>
      </c>
      <c r="I200" s="8" t="s">
        <v>65</v>
      </c>
      <c r="J200" s="8" t="s">
        <v>87</v>
      </c>
      <c r="K200" s="8" t="s">
        <v>40</v>
      </c>
      <c r="L200" s="8" t="s">
        <v>76</v>
      </c>
      <c r="M200" s="8" t="s">
        <v>51</v>
      </c>
      <c r="N200" s="3">
        <v>21</v>
      </c>
      <c r="O200" s="15">
        <v>9.5299999999999994</v>
      </c>
      <c r="P200" s="17">
        <v>0.2</v>
      </c>
      <c r="Q200" s="15">
        <v>4.41</v>
      </c>
      <c r="R200" s="15">
        <f t="shared" si="16"/>
        <v>160.10400000000001</v>
      </c>
      <c r="S200" s="15">
        <f t="shared" si="17"/>
        <v>92.61</v>
      </c>
      <c r="T200" s="15">
        <f t="shared" si="18"/>
        <v>67.494000000000014</v>
      </c>
      <c r="U200" s="17">
        <f t="shared" si="19"/>
        <v>0.42156348373557195</v>
      </c>
      <c r="V200" s="3">
        <v>4</v>
      </c>
      <c r="W200" s="12">
        <v>5</v>
      </c>
    </row>
    <row r="201" spans="1:23">
      <c r="A201" s="8" t="s">
        <v>285</v>
      </c>
      <c r="B201" s="10">
        <v>45937</v>
      </c>
      <c r="C201" s="10" t="str">
        <f>TEXT(SalesDataTable[[#This Row],[Order_Date]],"YYYY")</f>
        <v>2025</v>
      </c>
      <c r="D201" s="10" t="str">
        <f>TEXT(SalesDataTable[[#This Row],[Order_Date]],"MMM")</f>
        <v>Oct</v>
      </c>
      <c r="E201" t="str">
        <f t="shared" si="15"/>
        <v>Oct 2025</v>
      </c>
      <c r="F201" s="8" t="s">
        <v>44</v>
      </c>
      <c r="G201" s="8" t="s">
        <v>82</v>
      </c>
      <c r="H201" s="8" t="s">
        <v>89</v>
      </c>
      <c r="I201" s="8" t="s">
        <v>65</v>
      </c>
      <c r="J201" s="8" t="s">
        <v>87</v>
      </c>
      <c r="K201" s="8" t="s">
        <v>40</v>
      </c>
      <c r="L201" s="8" t="s">
        <v>41</v>
      </c>
      <c r="M201" s="8" t="s">
        <v>85</v>
      </c>
      <c r="N201" s="3">
        <v>2</v>
      </c>
      <c r="O201" s="15">
        <v>10.67</v>
      </c>
      <c r="P201" s="17">
        <v>0.1</v>
      </c>
      <c r="Q201" s="15">
        <v>4.41</v>
      </c>
      <c r="R201" s="15">
        <f t="shared" si="16"/>
        <v>19.206</v>
      </c>
      <c r="S201" s="15">
        <f t="shared" si="17"/>
        <v>8.82</v>
      </c>
      <c r="T201" s="15">
        <f t="shared" si="18"/>
        <v>10.385999999999999</v>
      </c>
      <c r="U201" s="17">
        <f t="shared" si="19"/>
        <v>0.54076850984067482</v>
      </c>
      <c r="V201" s="3">
        <v>5</v>
      </c>
      <c r="W201" s="12">
        <v>3</v>
      </c>
    </row>
    <row r="202" spans="1:23">
      <c r="A202" s="8" t="s">
        <v>286</v>
      </c>
      <c r="B202" s="10">
        <v>45929</v>
      </c>
      <c r="C202" s="10" t="str">
        <f>TEXT(SalesDataTable[[#This Row],[Order_Date]],"YYYY")</f>
        <v>2025</v>
      </c>
      <c r="D202" s="10" t="str">
        <f>TEXT(SalesDataTable[[#This Row],[Order_Date]],"MMM")</f>
        <v>Sep</v>
      </c>
      <c r="E202" t="str">
        <f t="shared" si="15"/>
        <v>Sep 2025</v>
      </c>
      <c r="F202" s="8" t="s">
        <v>44</v>
      </c>
      <c r="G202" s="8" t="s">
        <v>82</v>
      </c>
      <c r="H202" s="8" t="s">
        <v>103</v>
      </c>
      <c r="I202" s="8" t="s">
        <v>47</v>
      </c>
      <c r="J202" s="8" t="s">
        <v>105</v>
      </c>
      <c r="K202" s="8" t="s">
        <v>49</v>
      </c>
      <c r="L202" s="8" t="s">
        <v>76</v>
      </c>
      <c r="M202" s="8" t="s">
        <v>72</v>
      </c>
      <c r="N202" s="3">
        <v>1</v>
      </c>
      <c r="O202" s="15">
        <v>38.590000000000003</v>
      </c>
      <c r="P202" s="17">
        <v>0.05</v>
      </c>
      <c r="Q202" s="15">
        <v>21.27</v>
      </c>
      <c r="R202" s="15">
        <f t="shared" si="16"/>
        <v>36.660499999999999</v>
      </c>
      <c r="S202" s="15">
        <f t="shared" si="17"/>
        <v>21.27</v>
      </c>
      <c r="T202" s="15">
        <f t="shared" si="18"/>
        <v>15.390499999999999</v>
      </c>
      <c r="U202" s="17">
        <f t="shared" si="19"/>
        <v>0.41981151375458597</v>
      </c>
      <c r="V202" s="3">
        <v>6</v>
      </c>
      <c r="W202" s="12">
        <v>4</v>
      </c>
    </row>
    <row r="203" spans="1:23">
      <c r="A203" s="8" t="s">
        <v>287</v>
      </c>
      <c r="B203" s="10">
        <v>45701</v>
      </c>
      <c r="C203" s="10" t="str">
        <f>TEXT(SalesDataTable[[#This Row],[Order_Date]],"YYYY")</f>
        <v>2025</v>
      </c>
      <c r="D203" s="10" t="str">
        <f>TEXT(SalesDataTable[[#This Row],[Order_Date]],"MMM")</f>
        <v>Feb</v>
      </c>
      <c r="E203" t="str">
        <f t="shared" si="15"/>
        <v>Feb 2025</v>
      </c>
      <c r="F203" s="8" t="s">
        <v>35</v>
      </c>
      <c r="G203" s="8" t="s">
        <v>36</v>
      </c>
      <c r="H203" s="8" t="s">
        <v>61</v>
      </c>
      <c r="I203" s="8" t="s">
        <v>65</v>
      </c>
      <c r="J203" s="8" t="s">
        <v>87</v>
      </c>
      <c r="K203" s="8" t="s">
        <v>40</v>
      </c>
      <c r="L203" s="8" t="s">
        <v>67</v>
      </c>
      <c r="M203" s="8" t="s">
        <v>51</v>
      </c>
      <c r="N203" s="3">
        <v>6</v>
      </c>
      <c r="O203" s="15">
        <v>9.52</v>
      </c>
      <c r="P203" s="17">
        <v>0</v>
      </c>
      <c r="Q203" s="15">
        <v>4.33</v>
      </c>
      <c r="R203" s="15">
        <f t="shared" si="16"/>
        <v>57.12</v>
      </c>
      <c r="S203" s="15">
        <f t="shared" si="17"/>
        <v>25.98</v>
      </c>
      <c r="T203" s="15">
        <f t="shared" si="18"/>
        <v>31.139999999999997</v>
      </c>
      <c r="U203" s="17">
        <f t="shared" si="19"/>
        <v>0.54516806722689071</v>
      </c>
      <c r="V203" s="3">
        <v>7</v>
      </c>
      <c r="W203" s="12">
        <v>5</v>
      </c>
    </row>
    <row r="204" spans="1:23">
      <c r="A204" s="8" t="s">
        <v>288</v>
      </c>
      <c r="B204" s="10">
        <v>45825</v>
      </c>
      <c r="C204" s="10" t="str">
        <f>TEXT(SalesDataTable[[#This Row],[Order_Date]],"YYYY")</f>
        <v>2025</v>
      </c>
      <c r="D204" s="10" t="str">
        <f>TEXT(SalesDataTable[[#This Row],[Order_Date]],"MMM")</f>
        <v>Jun</v>
      </c>
      <c r="E204" t="str">
        <f t="shared" si="15"/>
        <v>Jun 2025</v>
      </c>
      <c r="F204" s="8" t="s">
        <v>44</v>
      </c>
      <c r="G204" s="8" t="s">
        <v>63</v>
      </c>
      <c r="H204" s="8" t="s">
        <v>124</v>
      </c>
      <c r="I204" s="8" t="s">
        <v>65</v>
      </c>
      <c r="J204" s="8" t="s">
        <v>75</v>
      </c>
      <c r="K204" s="8" t="s">
        <v>49</v>
      </c>
      <c r="L204" s="8" t="s">
        <v>41</v>
      </c>
      <c r="M204" s="8" t="s">
        <v>68</v>
      </c>
      <c r="N204" s="3">
        <v>5</v>
      </c>
      <c r="O204" s="15">
        <v>11.23</v>
      </c>
      <c r="P204" s="17">
        <v>0.05</v>
      </c>
      <c r="Q204" s="15">
        <v>6.46</v>
      </c>
      <c r="R204" s="15">
        <f t="shared" si="16"/>
        <v>53.342500000000001</v>
      </c>
      <c r="S204" s="15">
        <f t="shared" si="17"/>
        <v>32.299999999999997</v>
      </c>
      <c r="T204" s="15">
        <f t="shared" si="18"/>
        <v>21.042500000000004</v>
      </c>
      <c r="U204" s="17">
        <f t="shared" si="19"/>
        <v>0.39447907390917192</v>
      </c>
      <c r="V204" s="3">
        <v>9</v>
      </c>
      <c r="W204" s="12">
        <v>4</v>
      </c>
    </row>
    <row r="205" spans="1:23">
      <c r="A205" s="8" t="s">
        <v>289</v>
      </c>
      <c r="B205" s="10">
        <v>45764</v>
      </c>
      <c r="C205" s="10" t="str">
        <f>TEXT(SalesDataTable[[#This Row],[Order_Date]],"YYYY")</f>
        <v>2025</v>
      </c>
      <c r="D205" s="10" t="str">
        <f>TEXT(SalesDataTable[[#This Row],[Order_Date]],"MMM")</f>
        <v>Apr</v>
      </c>
      <c r="E205" t="str">
        <f t="shared" si="15"/>
        <v>Apr 2025</v>
      </c>
      <c r="F205" s="8" t="s">
        <v>35</v>
      </c>
      <c r="G205" s="8" t="s">
        <v>45</v>
      </c>
      <c r="H205" s="8" t="s">
        <v>120</v>
      </c>
      <c r="I205" s="8" t="s">
        <v>47</v>
      </c>
      <c r="J205" s="8" t="s">
        <v>105</v>
      </c>
      <c r="K205" s="8" t="s">
        <v>40</v>
      </c>
      <c r="L205" s="8" t="s">
        <v>76</v>
      </c>
      <c r="M205" s="8" t="s">
        <v>51</v>
      </c>
      <c r="N205" s="3">
        <v>12</v>
      </c>
      <c r="O205" s="15">
        <v>36.15</v>
      </c>
      <c r="P205" s="17">
        <v>0.15</v>
      </c>
      <c r="Q205" s="15">
        <v>19.09</v>
      </c>
      <c r="R205" s="15">
        <f t="shared" si="16"/>
        <v>368.72999999999996</v>
      </c>
      <c r="S205" s="15">
        <f t="shared" si="17"/>
        <v>229.07999999999998</v>
      </c>
      <c r="T205" s="15">
        <f t="shared" si="18"/>
        <v>139.64999999999998</v>
      </c>
      <c r="U205" s="17">
        <f t="shared" si="19"/>
        <v>0.37873240582540069</v>
      </c>
      <c r="V205" s="3">
        <v>3</v>
      </c>
      <c r="W205" s="12">
        <v>3</v>
      </c>
    </row>
    <row r="206" spans="1:23">
      <c r="A206" s="8" t="s">
        <v>290</v>
      </c>
      <c r="B206" s="10">
        <v>45785</v>
      </c>
      <c r="C206" s="10" t="str">
        <f>TEXT(SalesDataTable[[#This Row],[Order_Date]],"YYYY")</f>
        <v>2025</v>
      </c>
      <c r="D206" s="10" t="str">
        <f>TEXT(SalesDataTable[[#This Row],[Order_Date]],"MMM")</f>
        <v>May</v>
      </c>
      <c r="E206" t="str">
        <f t="shared" si="15"/>
        <v>May 2025</v>
      </c>
      <c r="F206" s="8" t="s">
        <v>58</v>
      </c>
      <c r="G206" s="8" t="s">
        <v>63</v>
      </c>
      <c r="H206" s="8" t="s">
        <v>124</v>
      </c>
      <c r="I206" s="8" t="s">
        <v>47</v>
      </c>
      <c r="J206" s="8" t="s">
        <v>48</v>
      </c>
      <c r="K206" s="8" t="s">
        <v>40</v>
      </c>
      <c r="L206" s="8" t="s">
        <v>41</v>
      </c>
      <c r="M206" s="8" t="s">
        <v>56</v>
      </c>
      <c r="N206" s="3">
        <v>8</v>
      </c>
      <c r="O206" s="15">
        <v>22.49</v>
      </c>
      <c r="P206" s="17">
        <v>0</v>
      </c>
      <c r="Q206" s="15">
        <v>11.09</v>
      </c>
      <c r="R206" s="15">
        <f t="shared" si="16"/>
        <v>179.92</v>
      </c>
      <c r="S206" s="15">
        <f t="shared" si="17"/>
        <v>88.72</v>
      </c>
      <c r="T206" s="15">
        <f t="shared" si="18"/>
        <v>91.199999999999989</v>
      </c>
      <c r="U206" s="17">
        <f t="shared" si="19"/>
        <v>0.50689195197865711</v>
      </c>
      <c r="V206" s="3">
        <v>2</v>
      </c>
      <c r="W206" s="12">
        <v>5</v>
      </c>
    </row>
    <row r="207" spans="1:23">
      <c r="A207" s="8" t="s">
        <v>291</v>
      </c>
      <c r="B207" s="10">
        <v>45729</v>
      </c>
      <c r="C207" s="10" t="str">
        <f>TEXT(SalesDataTable[[#This Row],[Order_Date]],"YYYY")</f>
        <v>2025</v>
      </c>
      <c r="D207" s="10" t="str">
        <f>TEXT(SalesDataTable[[#This Row],[Order_Date]],"MMM")</f>
        <v>Mar</v>
      </c>
      <c r="E207" t="str">
        <f t="shared" si="15"/>
        <v>Mar 2025</v>
      </c>
      <c r="F207" s="8" t="s">
        <v>35</v>
      </c>
      <c r="G207" s="8" t="s">
        <v>36</v>
      </c>
      <c r="H207" s="8" t="s">
        <v>37</v>
      </c>
      <c r="I207" s="8" t="s">
        <v>65</v>
      </c>
      <c r="J207" s="8" t="s">
        <v>92</v>
      </c>
      <c r="K207" s="8" t="s">
        <v>40</v>
      </c>
      <c r="L207" s="8" t="s">
        <v>76</v>
      </c>
      <c r="M207" s="8" t="s">
        <v>51</v>
      </c>
      <c r="N207" s="3">
        <v>22</v>
      </c>
      <c r="O207" s="15">
        <v>19.91</v>
      </c>
      <c r="P207" s="17">
        <v>0.05</v>
      </c>
      <c r="Q207" s="15">
        <v>9.33</v>
      </c>
      <c r="R207" s="15">
        <f t="shared" si="16"/>
        <v>416.11899999999997</v>
      </c>
      <c r="S207" s="15">
        <f t="shared" si="17"/>
        <v>205.26</v>
      </c>
      <c r="T207" s="15">
        <f t="shared" si="18"/>
        <v>210.85899999999998</v>
      </c>
      <c r="U207" s="17">
        <f t="shared" si="19"/>
        <v>0.5067276428137143</v>
      </c>
      <c r="V207" s="3">
        <v>2</v>
      </c>
      <c r="W207" s="12">
        <v>3</v>
      </c>
    </row>
    <row r="208" spans="1:23">
      <c r="A208" s="8" t="s">
        <v>292</v>
      </c>
      <c r="B208" s="10">
        <v>45691</v>
      </c>
      <c r="C208" s="10" t="str">
        <f>TEXT(SalesDataTable[[#This Row],[Order_Date]],"YYYY")</f>
        <v>2025</v>
      </c>
      <c r="D208" s="10" t="str">
        <f>TEXT(SalesDataTable[[#This Row],[Order_Date]],"MMM")</f>
        <v>Feb</v>
      </c>
      <c r="E208" t="str">
        <f t="shared" si="15"/>
        <v>Feb 2025</v>
      </c>
      <c r="F208" s="8" t="s">
        <v>35</v>
      </c>
      <c r="G208" s="8" t="s">
        <v>82</v>
      </c>
      <c r="H208" s="8" t="s">
        <v>83</v>
      </c>
      <c r="I208" s="8" t="s">
        <v>47</v>
      </c>
      <c r="J208" s="8" t="s">
        <v>78</v>
      </c>
      <c r="K208" s="8" t="s">
        <v>40</v>
      </c>
      <c r="L208" s="8" t="s">
        <v>76</v>
      </c>
      <c r="M208" s="8" t="s">
        <v>72</v>
      </c>
      <c r="N208" s="3">
        <v>1</v>
      </c>
      <c r="O208" s="15">
        <v>49.83</v>
      </c>
      <c r="P208" s="17">
        <v>0.15</v>
      </c>
      <c r="Q208" s="15">
        <v>25.06</v>
      </c>
      <c r="R208" s="15">
        <f t="shared" si="16"/>
        <v>42.355499999999999</v>
      </c>
      <c r="S208" s="15">
        <f t="shared" si="17"/>
        <v>25.06</v>
      </c>
      <c r="T208" s="15">
        <f t="shared" si="18"/>
        <v>17.295500000000001</v>
      </c>
      <c r="U208" s="17">
        <f t="shared" si="19"/>
        <v>0.40834130160191712</v>
      </c>
      <c r="V208" s="3">
        <v>7</v>
      </c>
      <c r="W208" s="12">
        <v>5</v>
      </c>
    </row>
    <row r="209" spans="1:23">
      <c r="A209" s="8" t="s">
        <v>293</v>
      </c>
      <c r="B209" s="10">
        <v>45860</v>
      </c>
      <c r="C209" s="10" t="str">
        <f>TEXT(SalesDataTable[[#This Row],[Order_Date]],"YYYY")</f>
        <v>2025</v>
      </c>
      <c r="D209" s="10" t="str">
        <f>TEXT(SalesDataTable[[#This Row],[Order_Date]],"MMM")</f>
        <v>Jul</v>
      </c>
      <c r="E209" t="str">
        <f t="shared" si="15"/>
        <v>Jul 2025</v>
      </c>
      <c r="F209" s="8" t="s">
        <v>44</v>
      </c>
      <c r="G209" s="8" t="s">
        <v>45</v>
      </c>
      <c r="H209" s="8" t="s">
        <v>46</v>
      </c>
      <c r="I209" s="8" t="s">
        <v>47</v>
      </c>
      <c r="J209" s="8" t="s">
        <v>137</v>
      </c>
      <c r="K209" s="8" t="s">
        <v>40</v>
      </c>
      <c r="L209" s="8" t="s">
        <v>50</v>
      </c>
      <c r="M209" s="8" t="s">
        <v>85</v>
      </c>
      <c r="N209" s="3">
        <v>5</v>
      </c>
      <c r="O209" s="15">
        <v>54.9</v>
      </c>
      <c r="P209" s="17">
        <v>0.05</v>
      </c>
      <c r="Q209" s="15">
        <v>30.2</v>
      </c>
      <c r="R209" s="15">
        <f t="shared" si="16"/>
        <v>260.77499999999998</v>
      </c>
      <c r="S209" s="15">
        <f t="shared" si="17"/>
        <v>151</v>
      </c>
      <c r="T209" s="15">
        <f t="shared" si="18"/>
        <v>109.77499999999998</v>
      </c>
      <c r="U209" s="17">
        <f t="shared" si="19"/>
        <v>0.42095676349343297</v>
      </c>
      <c r="V209" s="3">
        <v>4</v>
      </c>
      <c r="W209" s="12">
        <v>5</v>
      </c>
    </row>
    <row r="210" spans="1:23">
      <c r="A210" s="8" t="s">
        <v>294</v>
      </c>
      <c r="B210" s="10">
        <v>45913</v>
      </c>
      <c r="C210" s="10" t="str">
        <f>TEXT(SalesDataTable[[#This Row],[Order_Date]],"YYYY")</f>
        <v>2025</v>
      </c>
      <c r="D210" s="10" t="str">
        <f>TEXT(SalesDataTable[[#This Row],[Order_Date]],"MMM")</f>
        <v>Sep</v>
      </c>
      <c r="E210" t="str">
        <f t="shared" si="15"/>
        <v>Sep 2025</v>
      </c>
      <c r="F210" s="8" t="s">
        <v>44</v>
      </c>
      <c r="G210" s="8" t="s">
        <v>45</v>
      </c>
      <c r="H210" s="8" t="s">
        <v>74</v>
      </c>
      <c r="I210" s="8" t="s">
        <v>47</v>
      </c>
      <c r="J210" s="8" t="s">
        <v>105</v>
      </c>
      <c r="K210" s="8" t="s">
        <v>40</v>
      </c>
      <c r="L210" s="8" t="s">
        <v>50</v>
      </c>
      <c r="M210" s="8" t="s">
        <v>51</v>
      </c>
      <c r="N210" s="3">
        <v>9</v>
      </c>
      <c r="O210" s="15">
        <v>33.42</v>
      </c>
      <c r="P210" s="17">
        <v>0.05</v>
      </c>
      <c r="Q210" s="15">
        <v>21.58</v>
      </c>
      <c r="R210" s="15">
        <f t="shared" si="16"/>
        <v>285.74100000000004</v>
      </c>
      <c r="S210" s="15">
        <f t="shared" si="17"/>
        <v>194.21999999999997</v>
      </c>
      <c r="T210" s="15">
        <f t="shared" si="18"/>
        <v>91.521000000000072</v>
      </c>
      <c r="U210" s="17">
        <f t="shared" si="19"/>
        <v>0.32029355255283654</v>
      </c>
      <c r="V210" s="3">
        <v>1</v>
      </c>
      <c r="W210" s="12">
        <v>5</v>
      </c>
    </row>
    <row r="211" spans="1:23">
      <c r="A211" s="8" t="s">
        <v>295</v>
      </c>
      <c r="B211" s="10">
        <v>45841</v>
      </c>
      <c r="C211" s="10" t="str">
        <f>TEXT(SalesDataTable[[#This Row],[Order_Date]],"YYYY")</f>
        <v>2025</v>
      </c>
      <c r="D211" s="10" t="str">
        <f>TEXT(SalesDataTable[[#This Row],[Order_Date]],"MMM")</f>
        <v>Jul</v>
      </c>
      <c r="E211" t="str">
        <f t="shared" si="15"/>
        <v>Jul 2025</v>
      </c>
      <c r="F211" s="8" t="s">
        <v>44</v>
      </c>
      <c r="G211" s="8" t="s">
        <v>45</v>
      </c>
      <c r="H211" s="8" t="s">
        <v>74</v>
      </c>
      <c r="I211" s="8" t="s">
        <v>54</v>
      </c>
      <c r="J211" s="8" t="s">
        <v>55</v>
      </c>
      <c r="K211" s="8" t="s">
        <v>49</v>
      </c>
      <c r="L211" s="8" t="s">
        <v>67</v>
      </c>
      <c r="M211" s="8" t="s">
        <v>85</v>
      </c>
      <c r="N211" s="3">
        <v>7</v>
      </c>
      <c r="O211" s="15">
        <v>67.930000000000007</v>
      </c>
      <c r="P211" s="17">
        <v>0</v>
      </c>
      <c r="Q211" s="15">
        <v>45.7</v>
      </c>
      <c r="R211" s="15">
        <f t="shared" si="16"/>
        <v>475.51000000000005</v>
      </c>
      <c r="S211" s="15">
        <f t="shared" si="17"/>
        <v>319.90000000000003</v>
      </c>
      <c r="T211" s="15">
        <f t="shared" si="18"/>
        <v>155.61000000000001</v>
      </c>
      <c r="U211" s="17">
        <f t="shared" si="19"/>
        <v>0.32724863830413659</v>
      </c>
      <c r="V211" s="3">
        <v>5</v>
      </c>
      <c r="W211" s="12">
        <v>3</v>
      </c>
    </row>
    <row r="212" spans="1:23">
      <c r="A212" s="8" t="s">
        <v>296</v>
      </c>
      <c r="B212" s="10">
        <v>45899</v>
      </c>
      <c r="C212" s="10" t="str">
        <f>TEXT(SalesDataTable[[#This Row],[Order_Date]],"YYYY")</f>
        <v>2025</v>
      </c>
      <c r="D212" s="10" t="str">
        <f>TEXT(SalesDataTable[[#This Row],[Order_Date]],"MMM")</f>
        <v>Aug</v>
      </c>
      <c r="E212" t="str">
        <f t="shared" si="15"/>
        <v>Aug 2025</v>
      </c>
      <c r="F212" s="8" t="s">
        <v>35</v>
      </c>
      <c r="G212" s="8" t="s">
        <v>63</v>
      </c>
      <c r="H212" s="8" t="s">
        <v>98</v>
      </c>
      <c r="I212" s="8" t="s">
        <v>54</v>
      </c>
      <c r="J212" s="8" t="s">
        <v>70</v>
      </c>
      <c r="K212" s="8" t="s">
        <v>40</v>
      </c>
      <c r="L212" s="8" t="s">
        <v>76</v>
      </c>
      <c r="M212" s="8" t="s">
        <v>42</v>
      </c>
      <c r="N212" s="3">
        <v>25</v>
      </c>
      <c r="O212" s="15">
        <v>59.3</v>
      </c>
      <c r="P212" s="17">
        <v>0</v>
      </c>
      <c r="Q212" s="15">
        <v>41.02</v>
      </c>
      <c r="R212" s="15">
        <f t="shared" si="16"/>
        <v>1482.5</v>
      </c>
      <c r="S212" s="15">
        <f t="shared" si="17"/>
        <v>1025.5</v>
      </c>
      <c r="T212" s="15">
        <f t="shared" si="18"/>
        <v>457</v>
      </c>
      <c r="U212" s="17">
        <f t="shared" si="19"/>
        <v>0.30826306913996626</v>
      </c>
      <c r="V212" s="3">
        <v>7</v>
      </c>
      <c r="W212" s="12">
        <v>4</v>
      </c>
    </row>
    <row r="213" spans="1:23">
      <c r="A213" s="8" t="s">
        <v>297</v>
      </c>
      <c r="B213" s="10">
        <v>45746</v>
      </c>
      <c r="C213" s="10" t="str">
        <f>TEXT(SalesDataTable[[#This Row],[Order_Date]],"YYYY")</f>
        <v>2025</v>
      </c>
      <c r="D213" s="10" t="str">
        <f>TEXT(SalesDataTable[[#This Row],[Order_Date]],"MMM")</f>
        <v>Mar</v>
      </c>
      <c r="E213" t="str">
        <f t="shared" si="15"/>
        <v>Mar 2025</v>
      </c>
      <c r="F213" s="8" t="s">
        <v>44</v>
      </c>
      <c r="G213" s="8" t="s">
        <v>82</v>
      </c>
      <c r="H213" s="8" t="s">
        <v>89</v>
      </c>
      <c r="I213" s="8" t="s">
        <v>38</v>
      </c>
      <c r="J213" s="8" t="s">
        <v>59</v>
      </c>
      <c r="K213" s="8" t="s">
        <v>49</v>
      </c>
      <c r="L213" s="8" t="s">
        <v>76</v>
      </c>
      <c r="M213" s="8" t="s">
        <v>42</v>
      </c>
      <c r="N213" s="3">
        <v>3</v>
      </c>
      <c r="O213" s="15">
        <v>143.34</v>
      </c>
      <c r="P213" s="17">
        <v>0.2</v>
      </c>
      <c r="Q213" s="15">
        <v>85.51</v>
      </c>
      <c r="R213" s="15">
        <f t="shared" si="16"/>
        <v>344.01600000000002</v>
      </c>
      <c r="S213" s="15">
        <f t="shared" si="17"/>
        <v>256.53000000000003</v>
      </c>
      <c r="T213" s="15">
        <f t="shared" si="18"/>
        <v>87.48599999999999</v>
      </c>
      <c r="U213" s="17">
        <f t="shared" si="19"/>
        <v>0.25430793916562017</v>
      </c>
      <c r="V213" s="3">
        <v>8</v>
      </c>
      <c r="W213" s="12">
        <v>4</v>
      </c>
    </row>
    <row r="214" spans="1:23">
      <c r="A214" s="8" t="s">
        <v>298</v>
      </c>
      <c r="B214" s="10">
        <v>45747</v>
      </c>
      <c r="C214" s="10" t="str">
        <f>TEXT(SalesDataTable[[#This Row],[Order_Date]],"YYYY")</f>
        <v>2025</v>
      </c>
      <c r="D214" s="10" t="str">
        <f>TEXT(SalesDataTable[[#This Row],[Order_Date]],"MMM")</f>
        <v>Mar</v>
      </c>
      <c r="E214" t="str">
        <f t="shared" si="15"/>
        <v>Mar 2025</v>
      </c>
      <c r="F214" s="8" t="s">
        <v>44</v>
      </c>
      <c r="G214" s="8" t="s">
        <v>45</v>
      </c>
      <c r="H214" s="8" t="s">
        <v>46</v>
      </c>
      <c r="I214" s="8" t="s">
        <v>65</v>
      </c>
      <c r="J214" s="8" t="s">
        <v>92</v>
      </c>
      <c r="K214" s="8" t="s">
        <v>71</v>
      </c>
      <c r="L214" s="8" t="s">
        <v>67</v>
      </c>
      <c r="M214" s="8" t="s">
        <v>72</v>
      </c>
      <c r="N214" s="3">
        <v>12</v>
      </c>
      <c r="O214" s="15">
        <v>19.829999999999998</v>
      </c>
      <c r="P214" s="17">
        <v>0</v>
      </c>
      <c r="Q214" s="15">
        <v>9.52</v>
      </c>
      <c r="R214" s="15">
        <f t="shared" si="16"/>
        <v>237.95999999999998</v>
      </c>
      <c r="S214" s="15">
        <f t="shared" si="17"/>
        <v>114.24</v>
      </c>
      <c r="T214" s="15">
        <f t="shared" si="18"/>
        <v>123.71999999999998</v>
      </c>
      <c r="U214" s="17">
        <f t="shared" si="19"/>
        <v>0.51991931417044879</v>
      </c>
      <c r="V214" s="3">
        <v>3</v>
      </c>
      <c r="W214" s="12">
        <v>5</v>
      </c>
    </row>
    <row r="215" spans="1:23">
      <c r="A215" s="8" t="s">
        <v>299</v>
      </c>
      <c r="B215" s="10">
        <v>45823</v>
      </c>
      <c r="C215" s="10" t="str">
        <f>TEXT(SalesDataTable[[#This Row],[Order_Date]],"YYYY")</f>
        <v>2025</v>
      </c>
      <c r="D215" s="10" t="str">
        <f>TEXT(SalesDataTable[[#This Row],[Order_Date]],"MMM")</f>
        <v>Jun</v>
      </c>
      <c r="E215" t="str">
        <f t="shared" si="15"/>
        <v>Jun 2025</v>
      </c>
      <c r="F215" s="8" t="s">
        <v>35</v>
      </c>
      <c r="G215" s="8" t="s">
        <v>36</v>
      </c>
      <c r="H215" s="8" t="s">
        <v>37</v>
      </c>
      <c r="I215" s="8" t="s">
        <v>65</v>
      </c>
      <c r="J215" s="8" t="s">
        <v>92</v>
      </c>
      <c r="K215" s="8" t="s">
        <v>71</v>
      </c>
      <c r="L215" s="8" t="s">
        <v>76</v>
      </c>
      <c r="M215" s="8" t="s">
        <v>72</v>
      </c>
      <c r="N215" s="3">
        <v>13</v>
      </c>
      <c r="O215" s="15">
        <v>18.989999999999998</v>
      </c>
      <c r="P215" s="17">
        <v>0.05</v>
      </c>
      <c r="Q215" s="15">
        <v>10.26</v>
      </c>
      <c r="R215" s="15">
        <f t="shared" si="16"/>
        <v>234.52649999999997</v>
      </c>
      <c r="S215" s="15">
        <f t="shared" si="17"/>
        <v>133.38</v>
      </c>
      <c r="T215" s="15">
        <f t="shared" si="18"/>
        <v>101.14649999999997</v>
      </c>
      <c r="U215" s="17">
        <f t="shared" si="19"/>
        <v>0.43127962085308053</v>
      </c>
      <c r="V215" s="3">
        <v>6</v>
      </c>
      <c r="W215" s="12">
        <v>4</v>
      </c>
    </row>
    <row r="216" spans="1:23">
      <c r="A216" s="8" t="s">
        <v>300</v>
      </c>
      <c r="B216" s="10">
        <v>45727</v>
      </c>
      <c r="C216" s="10" t="str">
        <f>TEXT(SalesDataTable[[#This Row],[Order_Date]],"YYYY")</f>
        <v>2025</v>
      </c>
      <c r="D216" s="10" t="str">
        <f>TEXT(SalesDataTable[[#This Row],[Order_Date]],"MMM")</f>
        <v>Mar</v>
      </c>
      <c r="E216" t="str">
        <f t="shared" si="15"/>
        <v>Mar 2025</v>
      </c>
      <c r="F216" s="8" t="s">
        <v>44</v>
      </c>
      <c r="G216" s="8" t="s">
        <v>82</v>
      </c>
      <c r="H216" s="8" t="s">
        <v>83</v>
      </c>
      <c r="I216" s="8" t="s">
        <v>54</v>
      </c>
      <c r="J216" s="8" t="s">
        <v>130</v>
      </c>
      <c r="K216" s="8" t="s">
        <v>71</v>
      </c>
      <c r="L216" s="8" t="s">
        <v>76</v>
      </c>
      <c r="M216" s="8" t="s">
        <v>68</v>
      </c>
      <c r="N216" s="3">
        <v>23</v>
      </c>
      <c r="O216" s="15">
        <v>41.18</v>
      </c>
      <c r="P216" s="17">
        <v>0</v>
      </c>
      <c r="Q216" s="15">
        <v>22.75</v>
      </c>
      <c r="R216" s="15">
        <f t="shared" si="16"/>
        <v>947.14</v>
      </c>
      <c r="S216" s="15">
        <f t="shared" si="17"/>
        <v>523.25</v>
      </c>
      <c r="T216" s="15">
        <f t="shared" si="18"/>
        <v>423.89</v>
      </c>
      <c r="U216" s="17">
        <f t="shared" si="19"/>
        <v>0.44754735308402138</v>
      </c>
      <c r="V216" s="3">
        <v>5</v>
      </c>
      <c r="W216" s="12">
        <v>4</v>
      </c>
    </row>
    <row r="217" spans="1:23">
      <c r="A217" s="8" t="s">
        <v>301</v>
      </c>
      <c r="B217" s="10">
        <v>45658</v>
      </c>
      <c r="C217" s="10" t="str">
        <f>TEXT(SalesDataTable[[#This Row],[Order_Date]],"YYYY")</f>
        <v>2025</v>
      </c>
      <c r="D217" s="10" t="str">
        <f>TEXT(SalesDataTable[[#This Row],[Order_Date]],"MMM")</f>
        <v>Jan</v>
      </c>
      <c r="E217" t="str">
        <f t="shared" si="15"/>
        <v>Jan 2025</v>
      </c>
      <c r="F217" s="8" t="s">
        <v>58</v>
      </c>
      <c r="G217" s="8" t="s">
        <v>45</v>
      </c>
      <c r="H217" s="8" t="s">
        <v>74</v>
      </c>
      <c r="I217" s="8" t="s">
        <v>65</v>
      </c>
      <c r="J217" s="8" t="s">
        <v>66</v>
      </c>
      <c r="K217" s="8" t="s">
        <v>49</v>
      </c>
      <c r="L217" s="8" t="s">
        <v>50</v>
      </c>
      <c r="M217" s="8" t="s">
        <v>51</v>
      </c>
      <c r="N217" s="3">
        <v>20</v>
      </c>
      <c r="O217" s="15">
        <v>23.07</v>
      </c>
      <c r="P217" s="17">
        <v>0</v>
      </c>
      <c r="Q217" s="15">
        <v>13.99</v>
      </c>
      <c r="R217" s="15">
        <f t="shared" si="16"/>
        <v>461.4</v>
      </c>
      <c r="S217" s="15">
        <f t="shared" si="17"/>
        <v>279.8</v>
      </c>
      <c r="T217" s="15">
        <f t="shared" si="18"/>
        <v>181.59999999999997</v>
      </c>
      <c r="U217" s="17">
        <f t="shared" si="19"/>
        <v>0.39358474208929339</v>
      </c>
      <c r="V217" s="3">
        <v>2</v>
      </c>
      <c r="W217" s="12">
        <v>4</v>
      </c>
    </row>
    <row r="218" spans="1:23">
      <c r="A218" s="8" t="s">
        <v>302</v>
      </c>
      <c r="B218" s="10">
        <v>45821</v>
      </c>
      <c r="C218" s="10" t="str">
        <f>TEXT(SalesDataTable[[#This Row],[Order_Date]],"YYYY")</f>
        <v>2025</v>
      </c>
      <c r="D218" s="10" t="str">
        <f>TEXT(SalesDataTable[[#This Row],[Order_Date]],"MMM")</f>
        <v>Jun</v>
      </c>
      <c r="E218" t="str">
        <f t="shared" si="15"/>
        <v>Jun 2025</v>
      </c>
      <c r="F218" s="8" t="s">
        <v>35</v>
      </c>
      <c r="G218" s="8" t="s">
        <v>82</v>
      </c>
      <c r="H218" s="8" t="s">
        <v>83</v>
      </c>
      <c r="I218" s="8" t="s">
        <v>54</v>
      </c>
      <c r="J218" s="8" t="s">
        <v>96</v>
      </c>
      <c r="K218" s="8" t="s">
        <v>49</v>
      </c>
      <c r="L218" s="8" t="s">
        <v>76</v>
      </c>
      <c r="M218" s="8" t="s">
        <v>56</v>
      </c>
      <c r="N218" s="3">
        <v>2</v>
      </c>
      <c r="O218" s="15">
        <v>46</v>
      </c>
      <c r="P218" s="17">
        <v>0</v>
      </c>
      <c r="Q218" s="15">
        <v>26.88</v>
      </c>
      <c r="R218" s="15">
        <f t="shared" si="16"/>
        <v>92</v>
      </c>
      <c r="S218" s="15">
        <f t="shared" si="17"/>
        <v>53.76</v>
      </c>
      <c r="T218" s="15">
        <f t="shared" si="18"/>
        <v>38.24</v>
      </c>
      <c r="U218" s="17">
        <f t="shared" si="19"/>
        <v>0.41565217391304349</v>
      </c>
      <c r="V218" s="3">
        <v>5</v>
      </c>
      <c r="W218" s="12">
        <v>5</v>
      </c>
    </row>
    <row r="219" spans="1:23">
      <c r="A219" s="8" t="s">
        <v>303</v>
      </c>
      <c r="B219" s="10">
        <v>45658</v>
      </c>
      <c r="C219" s="10" t="str">
        <f>TEXT(SalesDataTable[[#This Row],[Order_Date]],"YYYY")</f>
        <v>2025</v>
      </c>
      <c r="D219" s="10" t="str">
        <f>TEXT(SalesDataTable[[#This Row],[Order_Date]],"MMM")</f>
        <v>Jan</v>
      </c>
      <c r="E219" t="str">
        <f t="shared" si="15"/>
        <v>Jan 2025</v>
      </c>
      <c r="F219" s="8" t="s">
        <v>58</v>
      </c>
      <c r="G219" s="8" t="s">
        <v>36</v>
      </c>
      <c r="H219" s="8" t="s">
        <v>53</v>
      </c>
      <c r="I219" s="8" t="s">
        <v>47</v>
      </c>
      <c r="J219" s="8" t="s">
        <v>137</v>
      </c>
      <c r="K219" s="8" t="s">
        <v>49</v>
      </c>
      <c r="L219" s="8" t="s">
        <v>67</v>
      </c>
      <c r="M219" s="8" t="s">
        <v>56</v>
      </c>
      <c r="N219" s="3">
        <v>6</v>
      </c>
      <c r="O219" s="15">
        <v>56.11</v>
      </c>
      <c r="P219" s="17">
        <v>0.05</v>
      </c>
      <c r="Q219" s="15">
        <v>29.96</v>
      </c>
      <c r="R219" s="15">
        <f t="shared" si="16"/>
        <v>319.82699999999994</v>
      </c>
      <c r="S219" s="15">
        <f t="shared" si="17"/>
        <v>179.76</v>
      </c>
      <c r="T219" s="15">
        <f t="shared" si="18"/>
        <v>140.06699999999995</v>
      </c>
      <c r="U219" s="17">
        <f t="shared" si="19"/>
        <v>0.43794613963173834</v>
      </c>
      <c r="V219" s="3">
        <v>4</v>
      </c>
      <c r="W219" s="12">
        <v>4</v>
      </c>
    </row>
    <row r="220" spans="1:23">
      <c r="A220" s="8" t="s">
        <v>304</v>
      </c>
      <c r="B220" s="10">
        <v>45695</v>
      </c>
      <c r="C220" s="10" t="str">
        <f>TEXT(SalesDataTable[[#This Row],[Order_Date]],"YYYY")</f>
        <v>2025</v>
      </c>
      <c r="D220" s="10" t="str">
        <f>TEXT(SalesDataTable[[#This Row],[Order_Date]],"MMM")</f>
        <v>Feb</v>
      </c>
      <c r="E220" t="str">
        <f t="shared" si="15"/>
        <v>Feb 2025</v>
      </c>
      <c r="F220" s="8" t="s">
        <v>44</v>
      </c>
      <c r="G220" s="8" t="s">
        <v>36</v>
      </c>
      <c r="H220" s="8" t="s">
        <v>53</v>
      </c>
      <c r="I220" s="8" t="s">
        <v>65</v>
      </c>
      <c r="J220" s="8" t="s">
        <v>66</v>
      </c>
      <c r="K220" s="8" t="s">
        <v>49</v>
      </c>
      <c r="L220" s="8" t="s">
        <v>50</v>
      </c>
      <c r="M220" s="8" t="s">
        <v>56</v>
      </c>
      <c r="N220" s="3">
        <v>7</v>
      </c>
      <c r="O220" s="15">
        <v>26.53</v>
      </c>
      <c r="P220" s="17">
        <v>0.15</v>
      </c>
      <c r="Q220" s="15">
        <v>14.11</v>
      </c>
      <c r="R220" s="15">
        <f t="shared" si="16"/>
        <v>157.8535</v>
      </c>
      <c r="S220" s="15">
        <f t="shared" si="17"/>
        <v>98.77</v>
      </c>
      <c r="T220" s="15">
        <f t="shared" si="18"/>
        <v>59.083500000000001</v>
      </c>
      <c r="U220" s="17">
        <f t="shared" si="19"/>
        <v>0.37429325292122129</v>
      </c>
      <c r="V220" s="3">
        <v>2</v>
      </c>
      <c r="W220" s="12">
        <v>4</v>
      </c>
    </row>
    <row r="221" spans="1:23">
      <c r="A221" s="8" t="s">
        <v>305</v>
      </c>
      <c r="B221" s="10">
        <v>45972</v>
      </c>
      <c r="C221" s="10" t="str">
        <f>TEXT(SalesDataTable[[#This Row],[Order_Date]],"YYYY")</f>
        <v>2025</v>
      </c>
      <c r="D221" s="10" t="str">
        <f>TEXT(SalesDataTable[[#This Row],[Order_Date]],"MMM")</f>
        <v>Nov</v>
      </c>
      <c r="E221" t="str">
        <f t="shared" si="15"/>
        <v>Nov 2025</v>
      </c>
      <c r="F221" s="8" t="s">
        <v>44</v>
      </c>
      <c r="G221" s="8" t="s">
        <v>45</v>
      </c>
      <c r="H221" s="8" t="s">
        <v>74</v>
      </c>
      <c r="I221" s="8" t="s">
        <v>65</v>
      </c>
      <c r="J221" s="8" t="s">
        <v>92</v>
      </c>
      <c r="K221" s="8" t="s">
        <v>71</v>
      </c>
      <c r="L221" s="8" t="s">
        <v>41</v>
      </c>
      <c r="M221" s="8" t="s">
        <v>72</v>
      </c>
      <c r="N221" s="3">
        <v>12</v>
      </c>
      <c r="O221" s="15">
        <v>17.010000000000002</v>
      </c>
      <c r="P221" s="17">
        <v>0.1</v>
      </c>
      <c r="Q221" s="15">
        <v>9.5</v>
      </c>
      <c r="R221" s="15">
        <f t="shared" si="16"/>
        <v>183.708</v>
      </c>
      <c r="S221" s="15">
        <f t="shared" si="17"/>
        <v>114</v>
      </c>
      <c r="T221" s="15">
        <f t="shared" si="18"/>
        <v>69.707999999999998</v>
      </c>
      <c r="U221" s="17">
        <f t="shared" si="19"/>
        <v>0.37944999673394736</v>
      </c>
      <c r="V221" s="3">
        <v>9</v>
      </c>
      <c r="W221" s="12">
        <v>4</v>
      </c>
    </row>
    <row r="222" spans="1:23">
      <c r="A222" s="8" t="s">
        <v>306</v>
      </c>
      <c r="B222" s="10">
        <v>45802</v>
      </c>
      <c r="C222" s="10" t="str">
        <f>TEXT(SalesDataTable[[#This Row],[Order_Date]],"YYYY")</f>
        <v>2025</v>
      </c>
      <c r="D222" s="10" t="str">
        <f>TEXT(SalesDataTable[[#This Row],[Order_Date]],"MMM")</f>
        <v>May</v>
      </c>
      <c r="E222" t="str">
        <f t="shared" si="15"/>
        <v>May 2025</v>
      </c>
      <c r="F222" s="8" t="s">
        <v>35</v>
      </c>
      <c r="G222" s="8" t="s">
        <v>63</v>
      </c>
      <c r="H222" s="8" t="s">
        <v>64</v>
      </c>
      <c r="I222" s="8" t="s">
        <v>65</v>
      </c>
      <c r="J222" s="8" t="s">
        <v>87</v>
      </c>
      <c r="K222" s="8" t="s">
        <v>71</v>
      </c>
      <c r="L222" s="8" t="s">
        <v>50</v>
      </c>
      <c r="M222" s="8" t="s">
        <v>72</v>
      </c>
      <c r="N222" s="3">
        <v>13</v>
      </c>
      <c r="O222" s="15">
        <v>9.01</v>
      </c>
      <c r="P222" s="17">
        <v>0.1</v>
      </c>
      <c r="Q222" s="15">
        <v>4.2</v>
      </c>
      <c r="R222" s="15">
        <f t="shared" si="16"/>
        <v>105.417</v>
      </c>
      <c r="S222" s="15">
        <f t="shared" si="17"/>
        <v>54.6</v>
      </c>
      <c r="T222" s="15">
        <f t="shared" si="18"/>
        <v>50.817</v>
      </c>
      <c r="U222" s="17">
        <f t="shared" si="19"/>
        <v>0.48205697373288936</v>
      </c>
      <c r="V222" s="3">
        <v>8</v>
      </c>
      <c r="W222" s="12">
        <v>4</v>
      </c>
    </row>
    <row r="223" spans="1:23">
      <c r="A223" s="8" t="s">
        <v>307</v>
      </c>
      <c r="B223" s="10">
        <v>45671</v>
      </c>
      <c r="C223" s="10" t="str">
        <f>TEXT(SalesDataTable[[#This Row],[Order_Date]],"YYYY")</f>
        <v>2025</v>
      </c>
      <c r="D223" s="10" t="str">
        <f>TEXT(SalesDataTable[[#This Row],[Order_Date]],"MMM")</f>
        <v>Jan</v>
      </c>
      <c r="E223" t="str">
        <f t="shared" si="15"/>
        <v>Jan 2025</v>
      </c>
      <c r="F223" s="8" t="s">
        <v>44</v>
      </c>
      <c r="G223" s="8" t="s">
        <v>82</v>
      </c>
      <c r="H223" s="8" t="s">
        <v>89</v>
      </c>
      <c r="I223" s="8" t="s">
        <v>38</v>
      </c>
      <c r="J223" s="8" t="s">
        <v>80</v>
      </c>
      <c r="K223" s="8" t="s">
        <v>71</v>
      </c>
      <c r="L223" s="8" t="s">
        <v>67</v>
      </c>
      <c r="M223" s="8" t="s">
        <v>56</v>
      </c>
      <c r="N223" s="3">
        <v>8</v>
      </c>
      <c r="O223" s="15">
        <v>131.62</v>
      </c>
      <c r="P223" s="17">
        <v>0.05</v>
      </c>
      <c r="Q223" s="15">
        <v>72.180000000000007</v>
      </c>
      <c r="R223" s="15">
        <f t="shared" si="16"/>
        <v>1000.312</v>
      </c>
      <c r="S223" s="15">
        <f t="shared" si="17"/>
        <v>577.44000000000005</v>
      </c>
      <c r="T223" s="15">
        <f t="shared" si="18"/>
        <v>422.87199999999996</v>
      </c>
      <c r="U223" s="17">
        <f t="shared" si="19"/>
        <v>0.42274010508721271</v>
      </c>
      <c r="V223" s="3">
        <v>7</v>
      </c>
      <c r="W223" s="12">
        <v>4</v>
      </c>
    </row>
    <row r="224" spans="1:23">
      <c r="A224" s="8" t="s">
        <v>308</v>
      </c>
      <c r="B224" s="10">
        <v>45853</v>
      </c>
      <c r="C224" s="10" t="str">
        <f>TEXT(SalesDataTable[[#This Row],[Order_Date]],"YYYY")</f>
        <v>2025</v>
      </c>
      <c r="D224" s="10" t="str">
        <f>TEXT(SalesDataTable[[#This Row],[Order_Date]],"MMM")</f>
        <v>Jul</v>
      </c>
      <c r="E224" t="str">
        <f t="shared" si="15"/>
        <v>Jul 2025</v>
      </c>
      <c r="F224" s="8" t="s">
        <v>44</v>
      </c>
      <c r="G224" s="8" t="s">
        <v>63</v>
      </c>
      <c r="H224" s="8" t="s">
        <v>64</v>
      </c>
      <c r="I224" s="8" t="s">
        <v>47</v>
      </c>
      <c r="J224" s="8" t="s">
        <v>48</v>
      </c>
      <c r="K224" s="8" t="s">
        <v>40</v>
      </c>
      <c r="L224" s="8" t="s">
        <v>76</v>
      </c>
      <c r="M224" s="8" t="s">
        <v>42</v>
      </c>
      <c r="N224" s="3">
        <v>1</v>
      </c>
      <c r="O224" s="15">
        <v>20.53</v>
      </c>
      <c r="P224" s="17">
        <v>0</v>
      </c>
      <c r="Q224" s="15">
        <v>11.35</v>
      </c>
      <c r="R224" s="15">
        <f t="shared" si="16"/>
        <v>20.53</v>
      </c>
      <c r="S224" s="15">
        <f t="shared" si="17"/>
        <v>11.35</v>
      </c>
      <c r="T224" s="15">
        <f t="shared" si="18"/>
        <v>9.1800000000000015</v>
      </c>
      <c r="U224" s="17">
        <f t="shared" si="19"/>
        <v>0.44715051144666346</v>
      </c>
      <c r="V224" s="3">
        <v>6</v>
      </c>
      <c r="W224" s="12">
        <v>5</v>
      </c>
    </row>
    <row r="225" spans="1:23">
      <c r="A225" s="8" t="s">
        <v>309</v>
      </c>
      <c r="B225" s="10">
        <v>45869</v>
      </c>
      <c r="C225" s="10" t="str">
        <f>TEXT(SalesDataTable[[#This Row],[Order_Date]],"YYYY")</f>
        <v>2025</v>
      </c>
      <c r="D225" s="10" t="str">
        <f>TEXT(SalesDataTable[[#This Row],[Order_Date]],"MMM")</f>
        <v>Jul</v>
      </c>
      <c r="E225" t="str">
        <f t="shared" si="15"/>
        <v>Jul 2025</v>
      </c>
      <c r="F225" s="8" t="s">
        <v>44</v>
      </c>
      <c r="G225" s="8" t="s">
        <v>82</v>
      </c>
      <c r="H225" s="8" t="s">
        <v>83</v>
      </c>
      <c r="I225" s="8" t="s">
        <v>65</v>
      </c>
      <c r="J225" s="8" t="s">
        <v>87</v>
      </c>
      <c r="K225" s="8" t="s">
        <v>49</v>
      </c>
      <c r="L225" s="8" t="s">
        <v>67</v>
      </c>
      <c r="M225" s="8" t="s">
        <v>42</v>
      </c>
      <c r="N225" s="3">
        <v>9</v>
      </c>
      <c r="O225" s="15">
        <v>10.050000000000001</v>
      </c>
      <c r="P225" s="17">
        <v>0.15</v>
      </c>
      <c r="Q225" s="15">
        <v>4.2</v>
      </c>
      <c r="R225" s="15">
        <f t="shared" si="16"/>
        <v>76.882500000000007</v>
      </c>
      <c r="S225" s="15">
        <f t="shared" si="17"/>
        <v>37.800000000000004</v>
      </c>
      <c r="T225" s="15">
        <f t="shared" si="18"/>
        <v>39.082500000000003</v>
      </c>
      <c r="U225" s="17">
        <f t="shared" si="19"/>
        <v>0.50834064969271286</v>
      </c>
      <c r="V225" s="3">
        <v>1</v>
      </c>
      <c r="W225" s="12">
        <v>4</v>
      </c>
    </row>
    <row r="226" spans="1:23">
      <c r="A226" s="8" t="s">
        <v>310</v>
      </c>
      <c r="B226" s="10">
        <v>45922</v>
      </c>
      <c r="C226" s="10" t="str">
        <f>TEXT(SalesDataTable[[#This Row],[Order_Date]],"YYYY")</f>
        <v>2025</v>
      </c>
      <c r="D226" s="10" t="str">
        <f>TEXT(SalesDataTable[[#This Row],[Order_Date]],"MMM")</f>
        <v>Sep</v>
      </c>
      <c r="E226" t="str">
        <f t="shared" si="15"/>
        <v>Sep 2025</v>
      </c>
      <c r="F226" s="8" t="s">
        <v>58</v>
      </c>
      <c r="G226" s="8" t="s">
        <v>82</v>
      </c>
      <c r="H226" s="8" t="s">
        <v>89</v>
      </c>
      <c r="I226" s="8" t="s">
        <v>54</v>
      </c>
      <c r="J226" s="8" t="s">
        <v>130</v>
      </c>
      <c r="K226" s="8" t="s">
        <v>40</v>
      </c>
      <c r="L226" s="8" t="s">
        <v>50</v>
      </c>
      <c r="M226" s="8" t="s">
        <v>68</v>
      </c>
      <c r="N226" s="3">
        <v>6</v>
      </c>
      <c r="O226" s="15">
        <v>36.380000000000003</v>
      </c>
      <c r="P226" s="17">
        <v>0.1</v>
      </c>
      <c r="Q226" s="15">
        <v>22.38</v>
      </c>
      <c r="R226" s="15">
        <f t="shared" si="16"/>
        <v>196.45200000000003</v>
      </c>
      <c r="S226" s="15">
        <f t="shared" si="17"/>
        <v>134.28</v>
      </c>
      <c r="T226" s="15">
        <f t="shared" si="18"/>
        <v>62.172000000000025</v>
      </c>
      <c r="U226" s="17">
        <f t="shared" si="19"/>
        <v>0.31647425325270306</v>
      </c>
      <c r="V226" s="3">
        <v>4</v>
      </c>
      <c r="W226" s="12">
        <v>5</v>
      </c>
    </row>
    <row r="227" spans="1:23">
      <c r="A227" s="8" t="s">
        <v>311</v>
      </c>
      <c r="B227" s="10">
        <v>45979</v>
      </c>
      <c r="C227" s="10" t="str">
        <f>TEXT(SalesDataTable[[#This Row],[Order_Date]],"YYYY")</f>
        <v>2025</v>
      </c>
      <c r="D227" s="10" t="str">
        <f>TEXT(SalesDataTable[[#This Row],[Order_Date]],"MMM")</f>
        <v>Nov</v>
      </c>
      <c r="E227" t="str">
        <f t="shared" si="15"/>
        <v>Nov 2025</v>
      </c>
      <c r="F227" s="8" t="s">
        <v>35</v>
      </c>
      <c r="G227" s="8" t="s">
        <v>82</v>
      </c>
      <c r="H227" s="8" t="s">
        <v>83</v>
      </c>
      <c r="I227" s="8" t="s">
        <v>65</v>
      </c>
      <c r="J227" s="8" t="s">
        <v>75</v>
      </c>
      <c r="K227" s="8" t="s">
        <v>40</v>
      </c>
      <c r="L227" s="8" t="s">
        <v>76</v>
      </c>
      <c r="M227" s="8" t="s">
        <v>85</v>
      </c>
      <c r="N227" s="3">
        <v>18</v>
      </c>
      <c r="O227" s="15">
        <v>12.01</v>
      </c>
      <c r="P227" s="17">
        <v>0.1</v>
      </c>
      <c r="Q227" s="15">
        <v>6.89</v>
      </c>
      <c r="R227" s="15">
        <f t="shared" si="16"/>
        <v>194.56200000000001</v>
      </c>
      <c r="S227" s="15">
        <f t="shared" si="17"/>
        <v>124.02</v>
      </c>
      <c r="T227" s="15">
        <f t="shared" si="18"/>
        <v>70.542000000000016</v>
      </c>
      <c r="U227" s="17">
        <f t="shared" si="19"/>
        <v>0.36256823017855494</v>
      </c>
      <c r="V227" s="3">
        <v>9</v>
      </c>
      <c r="W227" s="12">
        <v>5</v>
      </c>
    </row>
    <row r="228" spans="1:23">
      <c r="A228" s="8" t="s">
        <v>312</v>
      </c>
      <c r="B228" s="10">
        <v>45715</v>
      </c>
      <c r="C228" s="10" t="str">
        <f>TEXT(SalesDataTable[[#This Row],[Order_Date]],"YYYY")</f>
        <v>2025</v>
      </c>
      <c r="D228" s="10" t="str">
        <f>TEXT(SalesDataTable[[#This Row],[Order_Date]],"MMM")</f>
        <v>Feb</v>
      </c>
      <c r="E228" t="str">
        <f t="shared" si="15"/>
        <v>Feb 2025</v>
      </c>
      <c r="F228" s="8" t="s">
        <v>35</v>
      </c>
      <c r="G228" s="8" t="s">
        <v>45</v>
      </c>
      <c r="H228" s="8" t="s">
        <v>46</v>
      </c>
      <c r="I228" s="8" t="s">
        <v>65</v>
      </c>
      <c r="J228" s="8" t="s">
        <v>75</v>
      </c>
      <c r="K228" s="8" t="s">
        <v>49</v>
      </c>
      <c r="L228" s="8" t="s">
        <v>41</v>
      </c>
      <c r="M228" s="8" t="s">
        <v>85</v>
      </c>
      <c r="N228" s="3">
        <v>19</v>
      </c>
      <c r="O228" s="15">
        <v>13.12</v>
      </c>
      <c r="P228" s="17">
        <v>0</v>
      </c>
      <c r="Q228" s="15">
        <v>6.89</v>
      </c>
      <c r="R228" s="15">
        <f t="shared" si="16"/>
        <v>249.27999999999997</v>
      </c>
      <c r="S228" s="15">
        <f t="shared" si="17"/>
        <v>130.91</v>
      </c>
      <c r="T228" s="15">
        <f t="shared" si="18"/>
        <v>118.36999999999998</v>
      </c>
      <c r="U228" s="17">
        <f t="shared" si="19"/>
        <v>0.47484756097560971</v>
      </c>
      <c r="V228" s="3">
        <v>8</v>
      </c>
      <c r="W228" s="12">
        <v>5</v>
      </c>
    </row>
    <row r="229" spans="1:23">
      <c r="A229" s="8" t="s">
        <v>313</v>
      </c>
      <c r="B229" s="10">
        <v>45900</v>
      </c>
      <c r="C229" s="10" t="str">
        <f>TEXT(SalesDataTable[[#This Row],[Order_Date]],"YYYY")</f>
        <v>2025</v>
      </c>
      <c r="D229" s="10" t="str">
        <f>TEXT(SalesDataTable[[#This Row],[Order_Date]],"MMM")</f>
        <v>Aug</v>
      </c>
      <c r="E229" t="str">
        <f t="shared" si="15"/>
        <v>Aug 2025</v>
      </c>
      <c r="F229" s="8" t="s">
        <v>35</v>
      </c>
      <c r="G229" s="8" t="s">
        <v>36</v>
      </c>
      <c r="H229" s="8" t="s">
        <v>37</v>
      </c>
      <c r="I229" s="8" t="s">
        <v>65</v>
      </c>
      <c r="J229" s="8" t="s">
        <v>92</v>
      </c>
      <c r="K229" s="8" t="s">
        <v>71</v>
      </c>
      <c r="L229" s="8" t="s">
        <v>67</v>
      </c>
      <c r="M229" s="8" t="s">
        <v>72</v>
      </c>
      <c r="N229" s="3">
        <v>14</v>
      </c>
      <c r="O229" s="15">
        <v>19.72</v>
      </c>
      <c r="P229" s="17">
        <v>0</v>
      </c>
      <c r="Q229" s="15">
        <v>9.73</v>
      </c>
      <c r="R229" s="15">
        <f t="shared" si="16"/>
        <v>276.08</v>
      </c>
      <c r="S229" s="15">
        <f t="shared" si="17"/>
        <v>136.22</v>
      </c>
      <c r="T229" s="15">
        <f t="shared" si="18"/>
        <v>139.85999999999999</v>
      </c>
      <c r="U229" s="17">
        <f t="shared" si="19"/>
        <v>0.5065922920892495</v>
      </c>
      <c r="V229" s="3">
        <v>8</v>
      </c>
      <c r="W229" s="12">
        <v>5</v>
      </c>
    </row>
    <row r="230" spans="1:23">
      <c r="A230" s="8" t="s">
        <v>314</v>
      </c>
      <c r="B230" s="10">
        <v>45848</v>
      </c>
      <c r="C230" s="10" t="str">
        <f>TEXT(SalesDataTable[[#This Row],[Order_Date]],"YYYY")</f>
        <v>2025</v>
      </c>
      <c r="D230" s="10" t="str">
        <f>TEXT(SalesDataTable[[#This Row],[Order_Date]],"MMM")</f>
        <v>Jul</v>
      </c>
      <c r="E230" t="str">
        <f t="shared" si="15"/>
        <v>Jul 2025</v>
      </c>
      <c r="F230" s="8" t="s">
        <v>35</v>
      </c>
      <c r="G230" s="8" t="s">
        <v>36</v>
      </c>
      <c r="H230" s="8" t="s">
        <v>53</v>
      </c>
      <c r="I230" s="8" t="s">
        <v>54</v>
      </c>
      <c r="J230" s="8" t="s">
        <v>55</v>
      </c>
      <c r="K230" s="8" t="s">
        <v>40</v>
      </c>
      <c r="L230" s="8" t="s">
        <v>41</v>
      </c>
      <c r="M230" s="8" t="s">
        <v>68</v>
      </c>
      <c r="N230" s="3">
        <v>6</v>
      </c>
      <c r="O230" s="15">
        <v>72.459999999999994</v>
      </c>
      <c r="P230" s="17">
        <v>0.1</v>
      </c>
      <c r="Q230" s="15">
        <v>46.75</v>
      </c>
      <c r="R230" s="15">
        <f t="shared" si="16"/>
        <v>391.28399999999999</v>
      </c>
      <c r="S230" s="15">
        <f t="shared" si="17"/>
        <v>280.5</v>
      </c>
      <c r="T230" s="15">
        <f t="shared" si="18"/>
        <v>110.78399999999999</v>
      </c>
      <c r="U230" s="17">
        <f t="shared" si="19"/>
        <v>0.28312938939491517</v>
      </c>
      <c r="V230" s="3">
        <v>6</v>
      </c>
      <c r="W230" s="12">
        <v>4</v>
      </c>
    </row>
    <row r="231" spans="1:23">
      <c r="A231" s="8" t="s">
        <v>315</v>
      </c>
      <c r="B231" s="10">
        <v>45871</v>
      </c>
      <c r="C231" s="10" t="str">
        <f>TEXT(SalesDataTable[[#This Row],[Order_Date]],"YYYY")</f>
        <v>2025</v>
      </c>
      <c r="D231" s="10" t="str">
        <f>TEXT(SalesDataTable[[#This Row],[Order_Date]],"MMM")</f>
        <v>Aug</v>
      </c>
      <c r="E231" t="str">
        <f t="shared" si="15"/>
        <v>Aug 2025</v>
      </c>
      <c r="F231" s="8" t="s">
        <v>35</v>
      </c>
      <c r="G231" s="8" t="s">
        <v>36</v>
      </c>
      <c r="H231" s="8" t="s">
        <v>37</v>
      </c>
      <c r="I231" s="8" t="s">
        <v>47</v>
      </c>
      <c r="J231" s="8" t="s">
        <v>137</v>
      </c>
      <c r="K231" s="8" t="s">
        <v>71</v>
      </c>
      <c r="L231" s="8" t="s">
        <v>76</v>
      </c>
      <c r="M231" s="8" t="s">
        <v>72</v>
      </c>
      <c r="N231" s="3">
        <v>9</v>
      </c>
      <c r="O231" s="15">
        <v>59.08</v>
      </c>
      <c r="P231" s="17">
        <v>0.1</v>
      </c>
      <c r="Q231" s="15">
        <v>29.78</v>
      </c>
      <c r="R231" s="15">
        <f t="shared" si="16"/>
        <v>478.54800000000006</v>
      </c>
      <c r="S231" s="15">
        <f t="shared" si="17"/>
        <v>268.02</v>
      </c>
      <c r="T231" s="15">
        <f t="shared" si="18"/>
        <v>210.52800000000008</v>
      </c>
      <c r="U231" s="17">
        <f t="shared" si="19"/>
        <v>0.43993079064169122</v>
      </c>
      <c r="V231" s="3">
        <v>7</v>
      </c>
      <c r="W231" s="12">
        <v>4</v>
      </c>
    </row>
    <row r="232" spans="1:23">
      <c r="A232" s="8" t="s">
        <v>316</v>
      </c>
      <c r="B232" s="10">
        <v>45926</v>
      </c>
      <c r="C232" s="10" t="str">
        <f>TEXT(SalesDataTable[[#This Row],[Order_Date]],"YYYY")</f>
        <v>2025</v>
      </c>
      <c r="D232" s="10" t="str">
        <f>TEXT(SalesDataTable[[#This Row],[Order_Date]],"MMM")</f>
        <v>Sep</v>
      </c>
      <c r="E232" t="str">
        <f t="shared" si="15"/>
        <v>Sep 2025</v>
      </c>
      <c r="F232" s="8" t="s">
        <v>44</v>
      </c>
      <c r="G232" s="8" t="s">
        <v>36</v>
      </c>
      <c r="H232" s="8" t="s">
        <v>37</v>
      </c>
      <c r="I232" s="8" t="s">
        <v>65</v>
      </c>
      <c r="J232" s="8" t="s">
        <v>92</v>
      </c>
      <c r="K232" s="8" t="s">
        <v>49</v>
      </c>
      <c r="L232" s="8" t="s">
        <v>67</v>
      </c>
      <c r="M232" s="8" t="s">
        <v>72</v>
      </c>
      <c r="N232" s="3">
        <v>13</v>
      </c>
      <c r="O232" s="15">
        <v>18.989999999999998</v>
      </c>
      <c r="P232" s="17">
        <v>0.1</v>
      </c>
      <c r="Q232" s="15">
        <v>9.64</v>
      </c>
      <c r="R232" s="15">
        <f t="shared" si="16"/>
        <v>222.18299999999999</v>
      </c>
      <c r="S232" s="15">
        <f t="shared" si="17"/>
        <v>125.32000000000001</v>
      </c>
      <c r="T232" s="15">
        <f t="shared" si="18"/>
        <v>96.862999999999985</v>
      </c>
      <c r="U232" s="17">
        <f t="shared" si="19"/>
        <v>0.4359604470188988</v>
      </c>
      <c r="V232" s="3">
        <v>9</v>
      </c>
      <c r="W232" s="12">
        <v>4</v>
      </c>
    </row>
    <row r="233" spans="1:23">
      <c r="A233" s="8" t="s">
        <v>317</v>
      </c>
      <c r="B233" s="10">
        <v>45721</v>
      </c>
      <c r="C233" s="10" t="str">
        <f>TEXT(SalesDataTable[[#This Row],[Order_Date]],"YYYY")</f>
        <v>2025</v>
      </c>
      <c r="D233" s="10" t="str">
        <f>TEXT(SalesDataTable[[#This Row],[Order_Date]],"MMM")</f>
        <v>Mar</v>
      </c>
      <c r="E233" t="str">
        <f t="shared" si="15"/>
        <v>Mar 2025</v>
      </c>
      <c r="F233" s="8" t="s">
        <v>58</v>
      </c>
      <c r="G233" s="8" t="s">
        <v>36</v>
      </c>
      <c r="H233" s="8" t="s">
        <v>37</v>
      </c>
      <c r="I233" s="8" t="s">
        <v>47</v>
      </c>
      <c r="J233" s="8" t="s">
        <v>137</v>
      </c>
      <c r="K233" s="8" t="s">
        <v>40</v>
      </c>
      <c r="L233" s="8" t="s">
        <v>76</v>
      </c>
      <c r="M233" s="8" t="s">
        <v>85</v>
      </c>
      <c r="N233" s="3">
        <v>3</v>
      </c>
      <c r="O233" s="15">
        <v>59.64</v>
      </c>
      <c r="P233" s="17">
        <v>0.1</v>
      </c>
      <c r="Q233" s="15">
        <v>30.76</v>
      </c>
      <c r="R233" s="15">
        <f t="shared" si="16"/>
        <v>161.02800000000002</v>
      </c>
      <c r="S233" s="15">
        <f t="shared" si="17"/>
        <v>92.28</v>
      </c>
      <c r="T233" s="15">
        <f t="shared" si="18"/>
        <v>68.748000000000019</v>
      </c>
      <c r="U233" s="17">
        <f t="shared" si="19"/>
        <v>0.42693196214322982</v>
      </c>
      <c r="V233" s="3">
        <v>2</v>
      </c>
      <c r="W233" s="12">
        <v>4</v>
      </c>
    </row>
    <row r="234" spans="1:23">
      <c r="A234" s="8" t="s">
        <v>318</v>
      </c>
      <c r="B234" s="10">
        <v>45855</v>
      </c>
      <c r="C234" s="10" t="str">
        <f>TEXT(SalesDataTable[[#This Row],[Order_Date]],"YYYY")</f>
        <v>2025</v>
      </c>
      <c r="D234" s="10" t="str">
        <f>TEXT(SalesDataTable[[#This Row],[Order_Date]],"MMM")</f>
        <v>Jul</v>
      </c>
      <c r="E234" t="str">
        <f t="shared" si="15"/>
        <v>Jul 2025</v>
      </c>
      <c r="F234" s="8" t="s">
        <v>35</v>
      </c>
      <c r="G234" s="8" t="s">
        <v>36</v>
      </c>
      <c r="H234" s="8" t="s">
        <v>37</v>
      </c>
      <c r="I234" s="8" t="s">
        <v>54</v>
      </c>
      <c r="J234" s="8" t="s">
        <v>70</v>
      </c>
      <c r="K234" s="8" t="s">
        <v>49</v>
      </c>
      <c r="L234" s="8" t="s">
        <v>50</v>
      </c>
      <c r="M234" s="8" t="s">
        <v>85</v>
      </c>
      <c r="N234" s="3">
        <v>22</v>
      </c>
      <c r="O234" s="15">
        <v>64.36</v>
      </c>
      <c r="P234" s="17">
        <v>0.1</v>
      </c>
      <c r="Q234" s="15">
        <v>35.08</v>
      </c>
      <c r="R234" s="15">
        <f t="shared" si="16"/>
        <v>1274.3280000000002</v>
      </c>
      <c r="S234" s="15">
        <f t="shared" si="17"/>
        <v>771.76</v>
      </c>
      <c r="T234" s="15">
        <f t="shared" si="18"/>
        <v>502.56800000000021</v>
      </c>
      <c r="U234" s="17">
        <f t="shared" si="19"/>
        <v>0.39437884124024597</v>
      </c>
      <c r="V234" s="3">
        <v>1</v>
      </c>
      <c r="W234" s="12">
        <v>4</v>
      </c>
    </row>
    <row r="235" spans="1:23">
      <c r="A235" s="8" t="s">
        <v>319</v>
      </c>
      <c r="B235" s="10">
        <v>45725</v>
      </c>
      <c r="C235" s="10" t="str">
        <f>TEXT(SalesDataTable[[#This Row],[Order_Date]],"YYYY")</f>
        <v>2025</v>
      </c>
      <c r="D235" s="10" t="str">
        <f>TEXT(SalesDataTable[[#This Row],[Order_Date]],"MMM")</f>
        <v>Mar</v>
      </c>
      <c r="E235" t="str">
        <f t="shared" si="15"/>
        <v>Mar 2025</v>
      </c>
      <c r="F235" s="8" t="s">
        <v>35</v>
      </c>
      <c r="G235" s="8" t="s">
        <v>82</v>
      </c>
      <c r="H235" s="8" t="s">
        <v>83</v>
      </c>
      <c r="I235" s="8" t="s">
        <v>54</v>
      </c>
      <c r="J235" s="8" t="s">
        <v>70</v>
      </c>
      <c r="K235" s="8" t="s">
        <v>40</v>
      </c>
      <c r="L235" s="8" t="s">
        <v>76</v>
      </c>
      <c r="M235" s="8" t="s">
        <v>51</v>
      </c>
      <c r="N235" s="3">
        <v>24</v>
      </c>
      <c r="O235" s="15">
        <v>67.69</v>
      </c>
      <c r="P235" s="17">
        <v>0.05</v>
      </c>
      <c r="Q235" s="15">
        <v>37.54</v>
      </c>
      <c r="R235" s="15">
        <f t="shared" si="16"/>
        <v>1543.3319999999999</v>
      </c>
      <c r="S235" s="15">
        <f t="shared" si="17"/>
        <v>900.96</v>
      </c>
      <c r="T235" s="15">
        <f t="shared" si="18"/>
        <v>642.37199999999984</v>
      </c>
      <c r="U235" s="17">
        <f t="shared" si="19"/>
        <v>0.41622411768822254</v>
      </c>
      <c r="V235" s="3">
        <v>6</v>
      </c>
      <c r="W235" s="12">
        <v>4</v>
      </c>
    </row>
    <row r="236" spans="1:23">
      <c r="A236" s="8" t="s">
        <v>320</v>
      </c>
      <c r="B236" s="10">
        <v>45769</v>
      </c>
      <c r="C236" s="10" t="str">
        <f>TEXT(SalesDataTable[[#This Row],[Order_Date]],"YYYY")</f>
        <v>2025</v>
      </c>
      <c r="D236" s="10" t="str">
        <f>TEXT(SalesDataTable[[#This Row],[Order_Date]],"MMM")</f>
        <v>Apr</v>
      </c>
      <c r="E236" t="str">
        <f t="shared" si="15"/>
        <v>Apr 2025</v>
      </c>
      <c r="F236" s="8" t="s">
        <v>44</v>
      </c>
      <c r="G236" s="8" t="s">
        <v>45</v>
      </c>
      <c r="H236" s="8" t="s">
        <v>120</v>
      </c>
      <c r="I236" s="8" t="s">
        <v>38</v>
      </c>
      <c r="J236" s="8" t="s">
        <v>186</v>
      </c>
      <c r="K236" s="8" t="s">
        <v>71</v>
      </c>
      <c r="L236" s="8" t="s">
        <v>76</v>
      </c>
      <c r="M236" s="8" t="s">
        <v>42</v>
      </c>
      <c r="N236" s="3">
        <v>5</v>
      </c>
      <c r="O236" s="15">
        <v>168.99</v>
      </c>
      <c r="P236" s="17">
        <v>0</v>
      </c>
      <c r="Q236" s="15">
        <v>107.79</v>
      </c>
      <c r="R236" s="15">
        <f t="shared" si="16"/>
        <v>844.95</v>
      </c>
      <c r="S236" s="15">
        <f t="shared" si="17"/>
        <v>538.95000000000005</v>
      </c>
      <c r="T236" s="15">
        <f t="shared" si="18"/>
        <v>306</v>
      </c>
      <c r="U236" s="17">
        <f t="shared" si="19"/>
        <v>0.36215160660394102</v>
      </c>
      <c r="V236" s="3">
        <v>5</v>
      </c>
      <c r="W236" s="12">
        <v>5</v>
      </c>
    </row>
    <row r="237" spans="1:23">
      <c r="A237" s="8" t="s">
        <v>321</v>
      </c>
      <c r="B237" s="10">
        <v>45799</v>
      </c>
      <c r="C237" s="10" t="str">
        <f>TEXT(SalesDataTable[[#This Row],[Order_Date]],"YYYY")</f>
        <v>2025</v>
      </c>
      <c r="D237" s="10" t="str">
        <f>TEXT(SalesDataTable[[#This Row],[Order_Date]],"MMM")</f>
        <v>May</v>
      </c>
      <c r="E237" t="str">
        <f t="shared" si="15"/>
        <v>May 2025</v>
      </c>
      <c r="F237" s="8" t="s">
        <v>44</v>
      </c>
      <c r="G237" s="8" t="s">
        <v>63</v>
      </c>
      <c r="H237" s="8" t="s">
        <v>98</v>
      </c>
      <c r="I237" s="8" t="s">
        <v>38</v>
      </c>
      <c r="J237" s="8" t="s">
        <v>59</v>
      </c>
      <c r="K237" s="8" t="s">
        <v>40</v>
      </c>
      <c r="L237" s="8" t="s">
        <v>50</v>
      </c>
      <c r="M237" s="8" t="s">
        <v>72</v>
      </c>
      <c r="N237" s="3">
        <v>7</v>
      </c>
      <c r="O237" s="15">
        <v>146.34</v>
      </c>
      <c r="P237" s="17">
        <v>0.1</v>
      </c>
      <c r="Q237" s="15">
        <v>92.6</v>
      </c>
      <c r="R237" s="15">
        <f t="shared" si="16"/>
        <v>921.94200000000012</v>
      </c>
      <c r="S237" s="15">
        <f t="shared" si="17"/>
        <v>648.19999999999993</v>
      </c>
      <c r="T237" s="15">
        <f t="shared" si="18"/>
        <v>273.74200000000019</v>
      </c>
      <c r="U237" s="17">
        <f t="shared" si="19"/>
        <v>0.29691889511487723</v>
      </c>
      <c r="V237" s="3">
        <v>8</v>
      </c>
      <c r="W237" s="12">
        <v>5</v>
      </c>
    </row>
    <row r="238" spans="1:23">
      <c r="A238" s="8" t="s">
        <v>322</v>
      </c>
      <c r="B238" s="10">
        <v>45790</v>
      </c>
      <c r="C238" s="10" t="str">
        <f>TEXT(SalesDataTable[[#This Row],[Order_Date]],"YYYY")</f>
        <v>2025</v>
      </c>
      <c r="D238" s="10" t="str">
        <f>TEXT(SalesDataTable[[#This Row],[Order_Date]],"MMM")</f>
        <v>May</v>
      </c>
      <c r="E238" t="str">
        <f t="shared" si="15"/>
        <v>May 2025</v>
      </c>
      <c r="F238" s="8" t="s">
        <v>58</v>
      </c>
      <c r="G238" s="8" t="s">
        <v>45</v>
      </c>
      <c r="H238" s="8" t="s">
        <v>120</v>
      </c>
      <c r="I238" s="8" t="s">
        <v>47</v>
      </c>
      <c r="J238" s="8" t="s">
        <v>105</v>
      </c>
      <c r="K238" s="8" t="s">
        <v>71</v>
      </c>
      <c r="L238" s="8" t="s">
        <v>50</v>
      </c>
      <c r="M238" s="8" t="s">
        <v>85</v>
      </c>
      <c r="N238" s="3">
        <v>12</v>
      </c>
      <c r="O238" s="15">
        <v>36.99</v>
      </c>
      <c r="P238" s="17">
        <v>0.05</v>
      </c>
      <c r="Q238" s="15">
        <v>20.6</v>
      </c>
      <c r="R238" s="15">
        <f t="shared" si="16"/>
        <v>421.68599999999998</v>
      </c>
      <c r="S238" s="15">
        <f t="shared" si="17"/>
        <v>247.20000000000002</v>
      </c>
      <c r="T238" s="15">
        <f t="shared" si="18"/>
        <v>174.48599999999996</v>
      </c>
      <c r="U238" s="17">
        <f t="shared" si="19"/>
        <v>0.41378181869922165</v>
      </c>
      <c r="V238" s="3">
        <v>8</v>
      </c>
      <c r="W238" s="12">
        <v>5</v>
      </c>
    </row>
    <row r="239" spans="1:23">
      <c r="A239" s="8" t="s">
        <v>323</v>
      </c>
      <c r="B239" s="10">
        <v>46001</v>
      </c>
      <c r="C239" s="10" t="str">
        <f>TEXT(SalesDataTable[[#This Row],[Order_Date]],"YYYY")</f>
        <v>2025</v>
      </c>
      <c r="D239" s="10" t="str">
        <f>TEXT(SalesDataTable[[#This Row],[Order_Date]],"MMM")</f>
        <v>Dec</v>
      </c>
      <c r="E239" t="str">
        <f t="shared" si="15"/>
        <v>Dec 2025</v>
      </c>
      <c r="F239" s="8" t="s">
        <v>58</v>
      </c>
      <c r="G239" s="8" t="s">
        <v>63</v>
      </c>
      <c r="H239" s="8" t="s">
        <v>98</v>
      </c>
      <c r="I239" s="8" t="s">
        <v>47</v>
      </c>
      <c r="J239" s="8" t="s">
        <v>78</v>
      </c>
      <c r="K239" s="8" t="s">
        <v>49</v>
      </c>
      <c r="L239" s="8" t="s">
        <v>50</v>
      </c>
      <c r="M239" s="8" t="s">
        <v>85</v>
      </c>
      <c r="N239" s="3">
        <v>2</v>
      </c>
      <c r="O239" s="15">
        <v>45.16</v>
      </c>
      <c r="P239" s="17">
        <v>0.1</v>
      </c>
      <c r="Q239" s="15">
        <v>28.04</v>
      </c>
      <c r="R239" s="15">
        <f t="shared" si="16"/>
        <v>81.287999999999997</v>
      </c>
      <c r="S239" s="15">
        <f t="shared" si="17"/>
        <v>56.08</v>
      </c>
      <c r="T239" s="15">
        <f t="shared" si="18"/>
        <v>25.207999999999998</v>
      </c>
      <c r="U239" s="17">
        <f t="shared" si="19"/>
        <v>0.31010727290620999</v>
      </c>
      <c r="V239" s="3">
        <v>9</v>
      </c>
      <c r="W239" s="12">
        <v>5</v>
      </c>
    </row>
    <row r="240" spans="1:23">
      <c r="A240" s="8" t="s">
        <v>324</v>
      </c>
      <c r="B240" s="10">
        <v>45751</v>
      </c>
      <c r="C240" s="10" t="str">
        <f>TEXT(SalesDataTable[[#This Row],[Order_Date]],"YYYY")</f>
        <v>2025</v>
      </c>
      <c r="D240" s="10" t="str">
        <f>TEXT(SalesDataTable[[#This Row],[Order_Date]],"MMM")</f>
        <v>Apr</v>
      </c>
      <c r="E240" t="str">
        <f t="shared" si="15"/>
        <v>Apr 2025</v>
      </c>
      <c r="F240" s="8" t="s">
        <v>58</v>
      </c>
      <c r="G240" s="8" t="s">
        <v>63</v>
      </c>
      <c r="H240" s="8" t="s">
        <v>98</v>
      </c>
      <c r="I240" s="8" t="s">
        <v>65</v>
      </c>
      <c r="J240" s="8" t="s">
        <v>66</v>
      </c>
      <c r="K240" s="8" t="s">
        <v>40</v>
      </c>
      <c r="L240" s="8" t="s">
        <v>67</v>
      </c>
      <c r="M240" s="8" t="s">
        <v>85</v>
      </c>
      <c r="N240" s="3">
        <v>13</v>
      </c>
      <c r="O240" s="15">
        <v>23.93</v>
      </c>
      <c r="P240" s="17">
        <v>0.15</v>
      </c>
      <c r="Q240" s="15">
        <v>13.54</v>
      </c>
      <c r="R240" s="15">
        <f t="shared" si="16"/>
        <v>264.42649999999998</v>
      </c>
      <c r="S240" s="15">
        <f t="shared" si="17"/>
        <v>176.01999999999998</v>
      </c>
      <c r="T240" s="15">
        <f t="shared" si="18"/>
        <v>88.406499999999994</v>
      </c>
      <c r="U240" s="17">
        <f t="shared" si="19"/>
        <v>0.33433298099850056</v>
      </c>
      <c r="V240" s="3">
        <v>8</v>
      </c>
      <c r="W240" s="12">
        <v>3</v>
      </c>
    </row>
    <row r="241" spans="1:23">
      <c r="A241" s="8" t="s">
        <v>325</v>
      </c>
      <c r="B241" s="10">
        <v>45982</v>
      </c>
      <c r="C241" s="10" t="str">
        <f>TEXT(SalesDataTable[[#This Row],[Order_Date]],"YYYY")</f>
        <v>2025</v>
      </c>
      <c r="D241" s="10" t="str">
        <f>TEXT(SalesDataTable[[#This Row],[Order_Date]],"MMM")</f>
        <v>Nov</v>
      </c>
      <c r="E241" t="str">
        <f t="shared" si="15"/>
        <v>Nov 2025</v>
      </c>
      <c r="F241" s="8" t="s">
        <v>44</v>
      </c>
      <c r="G241" s="8" t="s">
        <v>36</v>
      </c>
      <c r="H241" s="8" t="s">
        <v>53</v>
      </c>
      <c r="I241" s="8" t="s">
        <v>54</v>
      </c>
      <c r="J241" s="8" t="s">
        <v>96</v>
      </c>
      <c r="K241" s="8" t="s">
        <v>49</v>
      </c>
      <c r="L241" s="8" t="s">
        <v>76</v>
      </c>
      <c r="M241" s="8" t="s">
        <v>56</v>
      </c>
      <c r="N241" s="3">
        <v>3</v>
      </c>
      <c r="O241" s="15">
        <v>52.4</v>
      </c>
      <c r="P241" s="17">
        <v>0.2</v>
      </c>
      <c r="Q241" s="15">
        <v>26.44</v>
      </c>
      <c r="R241" s="15">
        <f t="shared" si="16"/>
        <v>125.75999999999999</v>
      </c>
      <c r="S241" s="15">
        <f t="shared" si="17"/>
        <v>79.320000000000007</v>
      </c>
      <c r="T241" s="15">
        <f t="shared" si="18"/>
        <v>46.439999999999984</v>
      </c>
      <c r="U241" s="17">
        <f t="shared" si="19"/>
        <v>0.36927480916030525</v>
      </c>
      <c r="V241" s="3">
        <v>6</v>
      </c>
      <c r="W241" s="12">
        <v>4</v>
      </c>
    </row>
  </sheetData>
  <conditionalFormatting sqref="T2:T241">
    <cfRule type="cellIs" dxfId="65" priority="1" operator="lessThan">
      <formula>0</formula>
    </cfRule>
  </conditionalFormatting>
  <conditionalFormatting sqref="U2:U241">
    <cfRule type="dataBar" priority="2">
      <dataBar>
        <cfvo type="min"/>
        <cfvo type="max"/>
        <color rgb="FF63C384"/>
      </dataBar>
    </cfRule>
    <cfRule type="dataBar" priority="3">
      <dataBar>
        <cfvo type="min"/>
        <cfvo type="max"/>
        <color rgb="FF63C384"/>
      </dataBar>
      <extLst>
        <ext xmlns:x14="http://schemas.microsoft.com/office/spreadsheetml/2009/9/main" uri="{B025F937-C7B1-47D3-B67F-A62EFF666E3E}">
          <x14:id>{3E6C03CD-5191-78AC-737D-7CE312498B63}</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3E6C03CD-5191-78AC-737D-7CE312498B63}">
            <x14:dataBar>
              <x14:cfvo type="min"/>
              <x14:cfvo type="max"/>
              <x14:negativeFillColor auto="1"/>
              <x14:axisColor auto="1"/>
            </x14:dataBar>
          </x14:cfRule>
          <xm:sqref>U2:U241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4713-165A-49B6-989A-BD68D3AE65FC}">
  <sheetPr codeName="Sheet4"/>
  <dimension ref="A2:O139"/>
  <sheetViews>
    <sheetView topLeftCell="F108" workbookViewId="0">
      <selection activeCell="B127" sqref="B127"/>
    </sheetView>
  </sheetViews>
  <sheetFormatPr defaultRowHeight="14"/>
  <cols>
    <col min="1" max="1" width="13.08203125" bestFit="1" customWidth="1"/>
    <col min="2" max="2" width="25.6640625" bestFit="1" customWidth="1"/>
    <col min="3" max="3" width="21.83203125" bestFit="1" customWidth="1"/>
    <col min="4" max="4" width="25.6640625" bestFit="1" customWidth="1"/>
    <col min="5" max="5" width="26.4140625" bestFit="1" customWidth="1"/>
    <col min="6" max="6" width="18.75" bestFit="1" customWidth="1"/>
    <col min="9" max="9" width="12.33203125" bestFit="1" customWidth="1"/>
    <col min="10" max="10" width="13.25" bestFit="1" customWidth="1"/>
    <col min="11" max="11" width="10.1640625" bestFit="1" customWidth="1"/>
    <col min="12" max="12" width="16.5" bestFit="1" customWidth="1"/>
    <col min="13" max="13" width="10.4140625" bestFit="1" customWidth="1"/>
    <col min="14" max="14" width="15.1640625" bestFit="1" customWidth="1"/>
    <col min="15" max="15" width="12.33203125" bestFit="1" customWidth="1"/>
    <col min="16" max="16" width="16.25" bestFit="1" customWidth="1"/>
  </cols>
  <sheetData>
    <row r="2" spans="1:13" ht="16.5">
      <c r="A2" s="34" t="s">
        <v>384</v>
      </c>
      <c r="B2" s="35"/>
      <c r="C2" s="35"/>
      <c r="D2" s="35"/>
      <c r="E2" s="35"/>
      <c r="H2" s="34" t="s">
        <v>387</v>
      </c>
      <c r="I2" s="35"/>
      <c r="J2" s="35"/>
      <c r="K2" s="35"/>
      <c r="L2" s="35"/>
      <c r="M2" s="19"/>
    </row>
    <row r="3" spans="1:13">
      <c r="A3" t="s">
        <v>386</v>
      </c>
      <c r="I3" t="s">
        <v>389</v>
      </c>
    </row>
    <row r="4" spans="1:13">
      <c r="A4" s="25">
        <v>102095.31000000004</v>
      </c>
      <c r="I4" s="25">
        <v>38683.01999999999</v>
      </c>
    </row>
    <row r="5" spans="1:13">
      <c r="A5" s="25">
        <f>A4</f>
        <v>102095.31000000004</v>
      </c>
      <c r="I5" s="25">
        <f>I4</f>
        <v>38683.01999999999</v>
      </c>
    </row>
    <row r="7" spans="1:13" ht="16.5">
      <c r="A7" s="34" t="s">
        <v>390</v>
      </c>
      <c r="B7" s="35"/>
      <c r="C7" s="35"/>
      <c r="D7" s="35"/>
      <c r="E7" s="35"/>
      <c r="I7" s="34" t="s">
        <v>394</v>
      </c>
      <c r="J7" s="34"/>
      <c r="K7" s="34"/>
    </row>
    <row r="8" spans="1:13">
      <c r="A8" t="s">
        <v>393</v>
      </c>
      <c r="I8" s="20" t="s">
        <v>395</v>
      </c>
      <c r="J8" t="s">
        <v>385</v>
      </c>
    </row>
    <row r="9" spans="1:13">
      <c r="A9">
        <v>240</v>
      </c>
      <c r="I9" s="21" t="s">
        <v>401</v>
      </c>
      <c r="J9" s="25">
        <v>16175.435999999998</v>
      </c>
    </row>
    <row r="10" spans="1:13">
      <c r="A10">
        <f>A9</f>
        <v>240</v>
      </c>
      <c r="I10" s="21" t="s">
        <v>400</v>
      </c>
      <c r="J10" s="25">
        <v>11856.366499999998</v>
      </c>
    </row>
    <row r="11" spans="1:13">
      <c r="A11" t="s">
        <v>434</v>
      </c>
      <c r="B11" s="15">
        <f>A4/A9</f>
        <v>425.39712500000019</v>
      </c>
      <c r="I11" s="21" t="s">
        <v>403</v>
      </c>
      <c r="J11" s="25">
        <v>9804.2159999999985</v>
      </c>
    </row>
    <row r="12" spans="1:13" ht="16.5">
      <c r="A12" s="34" t="s">
        <v>409</v>
      </c>
      <c r="B12" s="35"/>
      <c r="C12" s="35"/>
      <c r="D12" s="35"/>
      <c r="E12" s="35"/>
      <c r="I12" s="21" t="s">
        <v>399</v>
      </c>
      <c r="J12" s="25">
        <v>9602.8790000000008</v>
      </c>
    </row>
    <row r="13" spans="1:13">
      <c r="A13" s="20" t="s">
        <v>19</v>
      </c>
      <c r="B13" t="s">
        <v>385</v>
      </c>
      <c r="I13" s="21" t="s">
        <v>407</v>
      </c>
      <c r="J13" s="25">
        <v>8420.468499999999</v>
      </c>
    </row>
    <row r="14" spans="1:13">
      <c r="A14" s="21" t="s">
        <v>38</v>
      </c>
      <c r="B14" s="25">
        <v>37103.251500000006</v>
      </c>
      <c r="I14" s="21" t="s">
        <v>406</v>
      </c>
      <c r="J14" s="25">
        <v>7724.7850000000017</v>
      </c>
    </row>
    <row r="15" spans="1:13">
      <c r="A15" s="21" t="s">
        <v>54</v>
      </c>
      <c r="B15" s="25">
        <v>31224.949999999993</v>
      </c>
      <c r="I15" s="21" t="s">
        <v>398</v>
      </c>
      <c r="J15" s="25">
        <v>7173.5429999999997</v>
      </c>
    </row>
    <row r="16" spans="1:13">
      <c r="A16" s="21" t="s">
        <v>47</v>
      </c>
      <c r="B16" s="25">
        <v>18478.031999999999</v>
      </c>
      <c r="I16" s="21" t="s">
        <v>404</v>
      </c>
      <c r="J16" s="25">
        <v>6982.2564999999995</v>
      </c>
    </row>
    <row r="17" spans="1:13">
      <c r="A17" s="21" t="s">
        <v>65</v>
      </c>
      <c r="B17" s="25">
        <v>15289.076499999997</v>
      </c>
      <c r="I17" s="21" t="s">
        <v>408</v>
      </c>
      <c r="J17" s="25">
        <v>6817.3804999999984</v>
      </c>
    </row>
    <row r="18" spans="1:13">
      <c r="A18" s="21" t="s">
        <v>391</v>
      </c>
      <c r="B18" s="25">
        <v>102095.31</v>
      </c>
      <c r="I18" s="21" t="s">
        <v>397</v>
      </c>
      <c r="J18" s="25">
        <v>6360.7314999999999</v>
      </c>
    </row>
    <row r="19" spans="1:13">
      <c r="I19" s="21" t="s">
        <v>405</v>
      </c>
      <c r="J19" s="25">
        <v>5721.6510000000007</v>
      </c>
    </row>
    <row r="20" spans="1:13">
      <c r="I20" s="21" t="s">
        <v>402</v>
      </c>
      <c r="J20" s="25">
        <v>5455.5964999999997</v>
      </c>
    </row>
    <row r="21" spans="1:13">
      <c r="I21" s="21" t="s">
        <v>391</v>
      </c>
      <c r="J21" s="25">
        <v>102095.31</v>
      </c>
    </row>
    <row r="23" spans="1:13" ht="16.5">
      <c r="A23" s="34" t="s">
        <v>410</v>
      </c>
      <c r="B23" s="35"/>
      <c r="C23" s="35"/>
      <c r="D23" s="35"/>
      <c r="E23" s="35"/>
      <c r="H23" s="34" t="s">
        <v>412</v>
      </c>
      <c r="I23" s="35"/>
      <c r="J23" s="35"/>
      <c r="K23" s="35"/>
      <c r="L23" s="35"/>
    </row>
    <row r="24" spans="1:13">
      <c r="A24" s="20" t="s">
        <v>17</v>
      </c>
      <c r="B24" t="s">
        <v>388</v>
      </c>
      <c r="I24" s="20" t="s">
        <v>17</v>
      </c>
      <c r="J24" t="s">
        <v>385</v>
      </c>
    </row>
    <row r="25" spans="1:13">
      <c r="A25" s="21" t="s">
        <v>36</v>
      </c>
      <c r="B25" s="25">
        <v>11205.426500000003</v>
      </c>
      <c r="I25" s="21" t="s">
        <v>49</v>
      </c>
      <c r="J25" s="25">
        <v>26403.218999999994</v>
      </c>
    </row>
    <row r="26" spans="1:13">
      <c r="A26" s="21" t="s">
        <v>82</v>
      </c>
      <c r="B26" s="25">
        <v>9904.7519999999968</v>
      </c>
      <c r="I26" s="21" t="s">
        <v>40</v>
      </c>
      <c r="J26" s="25">
        <v>50401.32</v>
      </c>
    </row>
    <row r="27" spans="1:13">
      <c r="A27" s="21" t="s">
        <v>63</v>
      </c>
      <c r="B27" s="25">
        <v>9070.4434999999958</v>
      </c>
      <c r="I27" s="21" t="s">
        <v>71</v>
      </c>
      <c r="J27" s="25">
        <v>25290.771000000001</v>
      </c>
    </row>
    <row r="28" spans="1:13">
      <c r="A28" s="21" t="s">
        <v>45</v>
      </c>
      <c r="B28" s="25">
        <v>8502.3979999999992</v>
      </c>
      <c r="I28" s="21" t="s">
        <v>391</v>
      </c>
      <c r="J28" s="25">
        <v>102095.31</v>
      </c>
    </row>
    <row r="29" spans="1:13">
      <c r="A29" s="21" t="s">
        <v>391</v>
      </c>
      <c r="B29" s="25">
        <v>38683.019999999997</v>
      </c>
    </row>
    <row r="31" spans="1:13" ht="16.5">
      <c r="I31" s="34" t="s">
        <v>414</v>
      </c>
      <c r="J31" s="35"/>
      <c r="K31" s="35"/>
      <c r="L31" s="35"/>
      <c r="M31" s="35"/>
    </row>
    <row r="32" spans="1:13" ht="16.5">
      <c r="A32" s="34" t="s">
        <v>411</v>
      </c>
      <c r="B32" s="35"/>
      <c r="C32" s="35"/>
      <c r="D32" s="35"/>
      <c r="E32" s="35"/>
      <c r="I32" s="20" t="s">
        <v>19</v>
      </c>
      <c r="J32" t="s">
        <v>415</v>
      </c>
      <c r="K32" t="s">
        <v>385</v>
      </c>
      <c r="L32" t="s">
        <v>388</v>
      </c>
    </row>
    <row r="33" spans="1:13">
      <c r="A33" s="20" t="s">
        <v>16</v>
      </c>
      <c r="B33" t="s">
        <v>385</v>
      </c>
      <c r="I33" s="21" t="s">
        <v>54</v>
      </c>
      <c r="J33" s="17">
        <v>6.2765957446808532E-2</v>
      </c>
      <c r="K33" s="15">
        <v>31224.949999999993</v>
      </c>
      <c r="L33" s="15">
        <v>11988.03</v>
      </c>
    </row>
    <row r="34" spans="1:13">
      <c r="A34" s="21" t="s">
        <v>44</v>
      </c>
      <c r="B34" s="25">
        <v>59668.572999999975</v>
      </c>
      <c r="I34" s="21" t="s">
        <v>38</v>
      </c>
      <c r="J34" s="17">
        <v>4.6511627906976757E-2</v>
      </c>
      <c r="K34" s="15">
        <v>37103.251500000006</v>
      </c>
      <c r="L34" s="15">
        <v>12591.831500000002</v>
      </c>
    </row>
    <row r="35" spans="1:13">
      <c r="A35" s="21" t="s">
        <v>35</v>
      </c>
      <c r="B35" s="25">
        <v>31457.201500000003</v>
      </c>
      <c r="I35" s="21" t="s">
        <v>65</v>
      </c>
      <c r="J35" s="17">
        <v>5.789473684210527E-2</v>
      </c>
      <c r="K35" s="15">
        <v>15289.076499999997</v>
      </c>
      <c r="L35" s="15">
        <v>6742.1665000000003</v>
      </c>
    </row>
    <row r="36" spans="1:13">
      <c r="A36" s="21" t="s">
        <v>58</v>
      </c>
      <c r="B36" s="25">
        <v>10969.535499999998</v>
      </c>
      <c r="I36" s="21" t="s">
        <v>47</v>
      </c>
      <c r="J36" s="17">
        <v>7.0270270270270233E-2</v>
      </c>
      <c r="K36" s="15">
        <v>18478.031999999999</v>
      </c>
      <c r="L36" s="15">
        <v>7360.9919999999966</v>
      </c>
    </row>
    <row r="37" spans="1:13">
      <c r="A37" s="21" t="s">
        <v>391</v>
      </c>
      <c r="B37" s="25">
        <v>102095.30999999997</v>
      </c>
      <c r="I37" s="21" t="s">
        <v>391</v>
      </c>
      <c r="J37" s="17">
        <v>6.0625000000000026E-2</v>
      </c>
      <c r="K37" s="15">
        <v>102095.31</v>
      </c>
      <c r="L37" s="15">
        <v>38683.020000000011</v>
      </c>
    </row>
    <row r="38" spans="1:13">
      <c r="I38" t="s">
        <v>416</v>
      </c>
      <c r="J38" s="22">
        <f>J37</f>
        <v>6.0625000000000026E-2</v>
      </c>
    </row>
    <row r="42" spans="1:13" ht="16.5">
      <c r="I42" s="34" t="s">
        <v>418</v>
      </c>
      <c r="J42" s="35"/>
      <c r="K42" s="35"/>
      <c r="L42" s="35"/>
      <c r="M42" s="35"/>
    </row>
    <row r="43" spans="1:13" ht="16.5">
      <c r="A43" s="34" t="s">
        <v>417</v>
      </c>
      <c r="B43" s="35"/>
      <c r="C43" s="35"/>
      <c r="D43" s="35"/>
      <c r="E43" s="35"/>
      <c r="I43" s="20" t="s">
        <v>23</v>
      </c>
      <c r="J43" t="s">
        <v>385</v>
      </c>
    </row>
    <row r="44" spans="1:13">
      <c r="A44" s="20" t="s">
        <v>17</v>
      </c>
      <c r="B44" t="s">
        <v>388</v>
      </c>
      <c r="I44" s="21" t="s">
        <v>56</v>
      </c>
      <c r="J44" s="25">
        <v>20337.63</v>
      </c>
    </row>
    <row r="45" spans="1:13">
      <c r="A45" s="21" t="s">
        <v>70</v>
      </c>
      <c r="B45" s="25">
        <v>5765.9549999999999</v>
      </c>
      <c r="I45" s="21" t="s">
        <v>51</v>
      </c>
      <c r="J45" s="25">
        <v>19958.020499999995</v>
      </c>
    </row>
    <row r="46" spans="1:13">
      <c r="A46" s="21" t="s">
        <v>39</v>
      </c>
      <c r="B46" s="25">
        <v>5591.1415000000006</v>
      </c>
      <c r="I46" s="21" t="s">
        <v>72</v>
      </c>
      <c r="J46" s="25">
        <v>17699.2765</v>
      </c>
    </row>
    <row r="47" spans="1:13">
      <c r="A47" s="21" t="s">
        <v>96</v>
      </c>
      <c r="B47" s="25">
        <v>2650.2260000000001</v>
      </c>
      <c r="I47" s="21" t="s">
        <v>85</v>
      </c>
      <c r="J47" s="25">
        <v>15861.546499999999</v>
      </c>
    </row>
    <row r="48" spans="1:13">
      <c r="A48" s="21" t="s">
        <v>137</v>
      </c>
      <c r="B48" s="25">
        <v>2523.9634999999998</v>
      </c>
      <c r="I48" s="21" t="s">
        <v>42</v>
      </c>
      <c r="J48" s="25">
        <v>15386.765999999998</v>
      </c>
    </row>
    <row r="49" spans="1:14">
      <c r="A49" s="21" t="s">
        <v>78</v>
      </c>
      <c r="B49" s="25">
        <v>2513.8049999999998</v>
      </c>
      <c r="I49" s="21" t="s">
        <v>68</v>
      </c>
      <c r="J49" s="25">
        <v>12852.070500000002</v>
      </c>
    </row>
    <row r="50" spans="1:14">
      <c r="A50" s="21" t="s">
        <v>391</v>
      </c>
      <c r="B50" s="25">
        <v>19045.091</v>
      </c>
      <c r="I50" s="21" t="s">
        <v>391</v>
      </c>
      <c r="J50" s="25">
        <v>102095.31</v>
      </c>
    </row>
    <row r="54" spans="1:14" ht="16.5">
      <c r="I54" s="34" t="s">
        <v>421</v>
      </c>
      <c r="J54" s="35"/>
      <c r="K54" s="35"/>
      <c r="L54" s="35"/>
      <c r="M54" s="35"/>
    </row>
    <row r="55" spans="1:14">
      <c r="I55" s="20" t="s">
        <v>423</v>
      </c>
      <c r="J55" t="s">
        <v>392</v>
      </c>
      <c r="K55" s="8"/>
      <c r="N55" s="32"/>
    </row>
    <row r="56" spans="1:14">
      <c r="I56" s="21" t="s">
        <v>98</v>
      </c>
      <c r="J56">
        <v>28</v>
      </c>
      <c r="K56" s="8"/>
      <c r="M56" s="32"/>
      <c r="N56" s="32"/>
    </row>
    <row r="57" spans="1:14">
      <c r="I57" s="21" t="s">
        <v>83</v>
      </c>
      <c r="J57">
        <v>26</v>
      </c>
      <c r="K57" s="8"/>
      <c r="M57" s="32"/>
      <c r="N57" s="32"/>
    </row>
    <row r="58" spans="1:14" ht="16.5">
      <c r="A58" s="34" t="s">
        <v>419</v>
      </c>
      <c r="B58" s="35"/>
      <c r="C58" s="35"/>
      <c r="D58" s="35"/>
      <c r="E58" s="35"/>
      <c r="I58" s="21" t="s">
        <v>103</v>
      </c>
      <c r="J58">
        <v>26</v>
      </c>
      <c r="K58" s="8"/>
      <c r="M58" s="32"/>
      <c r="N58" s="32"/>
    </row>
    <row r="59" spans="1:14">
      <c r="A59" s="20" t="s">
        <v>422</v>
      </c>
      <c r="B59" t="s">
        <v>420</v>
      </c>
      <c r="I59" s="21" t="s">
        <v>37</v>
      </c>
      <c r="J59">
        <v>25</v>
      </c>
      <c r="K59" s="8"/>
      <c r="M59" s="32"/>
      <c r="N59" s="32"/>
    </row>
    <row r="60" spans="1:14">
      <c r="A60" s="23">
        <v>0</v>
      </c>
      <c r="B60" s="17">
        <v>0.42567335411241086</v>
      </c>
      <c r="C60" s="17">
        <f t="shared" ref="C60:D64" si="0">A60</f>
        <v>0</v>
      </c>
      <c r="D60" s="17">
        <f t="shared" si="0"/>
        <v>0.42567335411241086</v>
      </c>
      <c r="I60" s="21" t="s">
        <v>64</v>
      </c>
      <c r="J60">
        <v>22</v>
      </c>
      <c r="K60" s="8"/>
      <c r="M60" s="32"/>
      <c r="N60" s="32"/>
    </row>
    <row r="61" spans="1:14">
      <c r="A61" s="23">
        <v>0.05</v>
      </c>
      <c r="B61" s="17">
        <v>0.40358758762403668</v>
      </c>
      <c r="C61" s="17">
        <f t="shared" si="0"/>
        <v>0.05</v>
      </c>
      <c r="D61" s="17">
        <f t="shared" si="0"/>
        <v>0.40358758762403668</v>
      </c>
      <c r="I61" s="21" t="s">
        <v>53</v>
      </c>
      <c r="J61">
        <v>21</v>
      </c>
      <c r="K61" s="8"/>
      <c r="M61" s="32"/>
      <c r="N61" s="32"/>
    </row>
    <row r="62" spans="1:14">
      <c r="A62" s="23">
        <v>0.1</v>
      </c>
      <c r="B62" s="17">
        <v>0.38287023990749908</v>
      </c>
      <c r="C62" s="17">
        <f t="shared" si="0"/>
        <v>0.1</v>
      </c>
      <c r="D62" s="17">
        <f t="shared" si="0"/>
        <v>0.38287023990749908</v>
      </c>
      <c r="I62" s="21" t="s">
        <v>74</v>
      </c>
      <c r="J62">
        <v>21</v>
      </c>
      <c r="K62" s="8"/>
      <c r="M62" s="32"/>
      <c r="N62" s="32"/>
    </row>
    <row r="63" spans="1:14">
      <c r="A63" s="23">
        <v>0.15</v>
      </c>
      <c r="B63" s="17">
        <v>0.36590104933844564</v>
      </c>
      <c r="C63" s="17">
        <f t="shared" si="0"/>
        <v>0.15</v>
      </c>
      <c r="D63" s="17">
        <f t="shared" si="0"/>
        <v>0.36590104933844564</v>
      </c>
      <c r="I63" s="21" t="s">
        <v>46</v>
      </c>
      <c r="J63">
        <v>18</v>
      </c>
      <c r="K63" s="8"/>
      <c r="M63" s="32"/>
      <c r="N63" s="32"/>
    </row>
    <row r="64" spans="1:14">
      <c r="A64" s="23">
        <v>0.2</v>
      </c>
      <c r="B64" s="17">
        <v>0.32206779451870443</v>
      </c>
      <c r="C64" s="17">
        <f t="shared" si="0"/>
        <v>0.2</v>
      </c>
      <c r="D64" s="17">
        <f t="shared" si="0"/>
        <v>0.32206779451870443</v>
      </c>
      <c r="I64" s="21" t="s">
        <v>61</v>
      </c>
      <c r="J64">
        <v>16</v>
      </c>
      <c r="K64" s="8"/>
      <c r="M64" s="32"/>
      <c r="N64" s="32"/>
    </row>
    <row r="65" spans="1:14">
      <c r="A65" s="23" t="s">
        <v>391</v>
      </c>
      <c r="B65" s="17">
        <v>0.39869630091726571</v>
      </c>
      <c r="C65" s="24">
        <f>B65</f>
        <v>0.39869630091726571</v>
      </c>
      <c r="I65" s="21" t="s">
        <v>89</v>
      </c>
      <c r="J65">
        <v>15</v>
      </c>
      <c r="K65" s="8"/>
      <c r="M65" s="32"/>
      <c r="N65" s="32"/>
    </row>
    <row r="66" spans="1:14">
      <c r="I66" s="21" t="s">
        <v>120</v>
      </c>
      <c r="J66">
        <v>12</v>
      </c>
      <c r="K66" s="8"/>
      <c r="M66" s="32"/>
      <c r="N66" s="32"/>
    </row>
    <row r="67" spans="1:14">
      <c r="A67" s="20" t="s">
        <v>17</v>
      </c>
      <c r="B67" t="s">
        <v>420</v>
      </c>
      <c r="C67" t="s">
        <v>385</v>
      </c>
      <c r="D67" t="s">
        <v>392</v>
      </c>
      <c r="I67" s="21" t="s">
        <v>124</v>
      </c>
      <c r="J67">
        <v>10</v>
      </c>
      <c r="K67" s="8"/>
      <c r="M67" s="32"/>
      <c r="N67" s="32"/>
    </row>
    <row r="68" spans="1:14">
      <c r="A68" s="23">
        <v>0</v>
      </c>
      <c r="B68" s="17">
        <v>0.42567335411241086</v>
      </c>
      <c r="C68" s="25">
        <v>42808.210000000006</v>
      </c>
      <c r="D68">
        <v>80</v>
      </c>
      <c r="I68" s="21" t="s">
        <v>391</v>
      </c>
      <c r="J68">
        <v>240</v>
      </c>
    </row>
    <row r="69" spans="1:14">
      <c r="A69" s="23">
        <v>0.05</v>
      </c>
      <c r="B69" s="17">
        <v>0.40358758762403668</v>
      </c>
      <c r="C69" s="25">
        <v>31744.496999999996</v>
      </c>
      <c r="D69">
        <v>76</v>
      </c>
    </row>
    <row r="70" spans="1:14">
      <c r="A70" s="23">
        <v>0.1</v>
      </c>
      <c r="B70" s="17">
        <v>0.38287023990749908</v>
      </c>
      <c r="C70" s="25">
        <v>19288.331999999999</v>
      </c>
      <c r="D70">
        <v>52</v>
      </c>
    </row>
    <row r="71" spans="1:14" ht="16.5">
      <c r="A71" s="23">
        <v>0.15</v>
      </c>
      <c r="B71" s="17">
        <v>0.36590104933844564</v>
      </c>
      <c r="C71" s="25">
        <v>4084.7430000000008</v>
      </c>
      <c r="D71">
        <v>17</v>
      </c>
      <c r="I71" s="34" t="s">
        <v>425</v>
      </c>
      <c r="J71" s="35"/>
      <c r="K71" s="35"/>
      <c r="L71" s="35"/>
      <c r="M71" s="35"/>
    </row>
    <row r="72" spans="1:14">
      <c r="A72" s="23">
        <v>0.2</v>
      </c>
      <c r="B72" s="17">
        <v>0.32206779451870443</v>
      </c>
      <c r="C72" s="25">
        <v>4169.5280000000002</v>
      </c>
      <c r="D72">
        <v>15</v>
      </c>
      <c r="I72" s="20" t="s">
        <v>17</v>
      </c>
      <c r="J72" s="20" t="s">
        <v>21</v>
      </c>
      <c r="K72" t="s">
        <v>428</v>
      </c>
    </row>
    <row r="73" spans="1:14">
      <c r="A73" s="23" t="s">
        <v>391</v>
      </c>
      <c r="B73" s="17">
        <v>0.39869630091726571</v>
      </c>
      <c r="C73" s="25">
        <v>102095.30999999995</v>
      </c>
      <c r="D73">
        <v>240</v>
      </c>
      <c r="I73" t="s">
        <v>63</v>
      </c>
      <c r="J73" t="s">
        <v>49</v>
      </c>
      <c r="K73" s="3">
        <v>6.3571428571428568</v>
      </c>
    </row>
    <row r="74" spans="1:14">
      <c r="I74" t="s">
        <v>63</v>
      </c>
      <c r="J74" t="s">
        <v>40</v>
      </c>
      <c r="K74" s="3">
        <v>4.9655172413793105</v>
      </c>
    </row>
    <row r="75" spans="1:14">
      <c r="I75" t="s">
        <v>63</v>
      </c>
      <c r="J75" t="s">
        <v>71</v>
      </c>
      <c r="K75" s="3">
        <v>5</v>
      </c>
    </row>
    <row r="76" spans="1:14">
      <c r="I76" t="s">
        <v>426</v>
      </c>
      <c r="K76" s="3">
        <v>5.3</v>
      </c>
    </row>
    <row r="77" spans="1:14">
      <c r="I77" t="s">
        <v>36</v>
      </c>
      <c r="J77" t="s">
        <v>49</v>
      </c>
      <c r="K77" s="3">
        <v>5.666666666666667</v>
      </c>
    </row>
    <row r="78" spans="1:14">
      <c r="I78" t="s">
        <v>36</v>
      </c>
      <c r="J78" t="s">
        <v>40</v>
      </c>
      <c r="K78" s="3">
        <v>4.8965517241379306</v>
      </c>
    </row>
    <row r="79" spans="1:14">
      <c r="I79" t="s">
        <v>36</v>
      </c>
      <c r="J79" t="s">
        <v>71</v>
      </c>
      <c r="K79" s="3">
        <v>5.5</v>
      </c>
    </row>
    <row r="80" spans="1:14">
      <c r="I80" t="s">
        <v>427</v>
      </c>
      <c r="K80" s="3">
        <v>5.258064516129032</v>
      </c>
    </row>
    <row r="81" spans="1:15">
      <c r="I81" t="s">
        <v>82</v>
      </c>
      <c r="K81" s="3">
        <v>5.1791044776119399</v>
      </c>
    </row>
    <row r="82" spans="1:15" ht="16.5">
      <c r="A82" s="34" t="s">
        <v>424</v>
      </c>
      <c r="B82" s="35"/>
      <c r="C82" s="35"/>
      <c r="D82" s="35"/>
      <c r="E82" s="35"/>
      <c r="I82" t="s">
        <v>45</v>
      </c>
      <c r="K82" s="3">
        <v>4.6862745098039218</v>
      </c>
    </row>
    <row r="83" spans="1:15">
      <c r="A83" s="20" t="s">
        <v>22</v>
      </c>
      <c r="B83" t="s">
        <v>385</v>
      </c>
      <c r="I83" t="s">
        <v>391</v>
      </c>
      <c r="K83" s="3">
        <v>5.125</v>
      </c>
    </row>
    <row r="84" spans="1:15">
      <c r="A84" s="21" t="s">
        <v>76</v>
      </c>
      <c r="B84" s="15">
        <v>28072.950999999994</v>
      </c>
      <c r="J84" t="s">
        <v>429</v>
      </c>
      <c r="K84" s="3">
        <f>K83</f>
        <v>5.125</v>
      </c>
    </row>
    <row r="85" spans="1:15">
      <c r="A85" s="21" t="s">
        <v>41</v>
      </c>
      <c r="B85" s="15">
        <v>17549.973499999989</v>
      </c>
    </row>
    <row r="86" spans="1:15">
      <c r="A86" s="21" t="s">
        <v>50</v>
      </c>
      <c r="B86" s="15">
        <v>30202.003000000008</v>
      </c>
    </row>
    <row r="87" spans="1:15" ht="16.5">
      <c r="A87" s="21" t="s">
        <v>67</v>
      </c>
      <c r="B87" s="15">
        <v>26270.382500000003</v>
      </c>
      <c r="I87" s="34" t="s">
        <v>431</v>
      </c>
      <c r="J87" s="35"/>
      <c r="K87" s="35"/>
      <c r="L87" s="35"/>
      <c r="M87" s="35"/>
    </row>
    <row r="88" spans="1:15">
      <c r="A88" s="21" t="s">
        <v>391</v>
      </c>
      <c r="B88" s="15">
        <v>102095.31</v>
      </c>
      <c r="I88" s="20" t="s">
        <v>20</v>
      </c>
      <c r="J88" t="s">
        <v>386</v>
      </c>
      <c r="K88" t="s">
        <v>389</v>
      </c>
      <c r="L88" t="s">
        <v>439</v>
      </c>
      <c r="M88" t="s">
        <v>436</v>
      </c>
      <c r="N88" t="s">
        <v>438</v>
      </c>
      <c r="O88" t="s">
        <v>440</v>
      </c>
    </row>
    <row r="89" spans="1:15">
      <c r="I89" s="21" t="s">
        <v>39</v>
      </c>
      <c r="J89" s="15">
        <v>17068.341499999995</v>
      </c>
      <c r="K89" s="15">
        <v>5591.1415000000006</v>
      </c>
      <c r="L89" s="17">
        <v>0.33312545677781141</v>
      </c>
      <c r="M89">
        <v>13</v>
      </c>
      <c r="N89" s="12">
        <v>4.2307692307692308</v>
      </c>
      <c r="O89" s="3">
        <v>4.3076923076923075</v>
      </c>
    </row>
    <row r="90" spans="1:15">
      <c r="I90" s="21" t="s">
        <v>70</v>
      </c>
      <c r="J90" s="15">
        <v>15338.105</v>
      </c>
      <c r="K90" s="15">
        <v>5765.9549999999999</v>
      </c>
      <c r="L90" s="17">
        <v>0.38094596526040275</v>
      </c>
      <c r="M90">
        <v>17</v>
      </c>
      <c r="N90" s="12">
        <v>4.1764705882352944</v>
      </c>
      <c r="O90" s="3">
        <v>4.7647058823529411</v>
      </c>
    </row>
    <row r="91" spans="1:15" ht="16.5">
      <c r="A91" s="34" t="s">
        <v>430</v>
      </c>
      <c r="B91" s="35"/>
      <c r="C91" s="35"/>
      <c r="D91" s="35"/>
      <c r="E91" s="35"/>
      <c r="I91" s="21" t="s">
        <v>59</v>
      </c>
      <c r="J91" s="15">
        <v>8118.6894999999986</v>
      </c>
      <c r="K91" s="15">
        <v>2457.1894999999995</v>
      </c>
      <c r="L91" s="17">
        <v>0.29446033813920131</v>
      </c>
      <c r="M91">
        <v>13</v>
      </c>
      <c r="N91" s="12">
        <v>4.3076923076923075</v>
      </c>
      <c r="O91" s="3">
        <v>6.0769230769230766</v>
      </c>
    </row>
    <row r="92" spans="1:15">
      <c r="A92" s="20" t="s">
        <v>19</v>
      </c>
      <c r="B92" t="s">
        <v>413</v>
      </c>
      <c r="I92" s="21" t="s">
        <v>96</v>
      </c>
      <c r="J92" s="15">
        <v>6786.9760000000015</v>
      </c>
      <c r="K92" s="15">
        <v>2650.2260000000001</v>
      </c>
      <c r="L92" s="17">
        <v>0.38433549458974681</v>
      </c>
      <c r="M92">
        <v>13</v>
      </c>
      <c r="N92" s="12">
        <v>4</v>
      </c>
      <c r="O92" s="3">
        <v>5.5384615384615383</v>
      </c>
    </row>
    <row r="93" spans="1:15">
      <c r="A93" s="21" t="s">
        <v>47</v>
      </c>
      <c r="B93" s="12">
        <v>4.8</v>
      </c>
      <c r="I93" s="21" t="s">
        <v>78</v>
      </c>
      <c r="J93" s="15">
        <v>6643.1149999999998</v>
      </c>
      <c r="K93" s="15">
        <v>2513.8049999999998</v>
      </c>
      <c r="L93" s="17">
        <v>0.37987524930935707</v>
      </c>
      <c r="M93">
        <v>21</v>
      </c>
      <c r="N93" s="12">
        <v>4.333333333333333</v>
      </c>
      <c r="O93" s="3">
        <v>5.2857142857142856</v>
      </c>
    </row>
    <row r="94" spans="1:15">
      <c r="A94" s="21" t="s">
        <v>65</v>
      </c>
      <c r="B94" s="12">
        <v>4.2857142857142856</v>
      </c>
      <c r="I94" s="21" t="s">
        <v>391</v>
      </c>
      <c r="J94" s="15">
        <v>53955.227000000014</v>
      </c>
      <c r="K94" s="15">
        <v>18978.31700000001</v>
      </c>
      <c r="L94" s="17">
        <v>0.35855114816248346</v>
      </c>
      <c r="M94">
        <v>77</v>
      </c>
      <c r="N94" s="12">
        <v>4.220779220779221</v>
      </c>
      <c r="O94" s="3">
        <v>5.1818181818181817</v>
      </c>
    </row>
    <row r="95" spans="1:15">
      <c r="A95" s="21" t="s">
        <v>38</v>
      </c>
      <c r="B95" s="12">
        <v>4.25</v>
      </c>
    </row>
    <row r="96" spans="1:15">
      <c r="A96" s="21" t="s">
        <v>54</v>
      </c>
      <c r="B96" s="12">
        <v>4</v>
      </c>
    </row>
    <row r="97" spans="1:13">
      <c r="A97" s="21" t="s">
        <v>391</v>
      </c>
      <c r="B97" s="12">
        <v>4.3043478260869561</v>
      </c>
      <c r="C97" s="12">
        <f>B97</f>
        <v>4.3043478260869561</v>
      </c>
      <c r="I97" s="20" t="s">
        <v>20</v>
      </c>
      <c r="J97" t="s">
        <v>385</v>
      </c>
    </row>
    <row r="98" spans="1:13">
      <c r="I98" s="21" t="s">
        <v>39</v>
      </c>
      <c r="J98" s="25">
        <v>17068.341499999995</v>
      </c>
      <c r="K98" t="str">
        <f t="shared" ref="K98:L102" si="1">I98</f>
        <v>Standing Desk</v>
      </c>
      <c r="L98" s="25">
        <f t="shared" si="1"/>
        <v>17068.341499999995</v>
      </c>
    </row>
    <row r="99" spans="1:13" ht="26">
      <c r="A99" s="26" t="s">
        <v>19</v>
      </c>
      <c r="B99" s="27" t="s">
        <v>386</v>
      </c>
      <c r="C99" s="27" t="s">
        <v>437</v>
      </c>
      <c r="D99" s="27" t="s">
        <v>389</v>
      </c>
      <c r="E99" s="27" t="s">
        <v>438</v>
      </c>
      <c r="F99" s="27" t="s">
        <v>436</v>
      </c>
      <c r="I99" s="21" t="s">
        <v>70</v>
      </c>
      <c r="J99" s="25">
        <v>15338.105</v>
      </c>
      <c r="K99" t="str">
        <f t="shared" si="1"/>
        <v>Headset</v>
      </c>
      <c r="L99" s="25">
        <f t="shared" si="1"/>
        <v>15338.105</v>
      </c>
    </row>
    <row r="100" spans="1:13" ht="26">
      <c r="A100" s="28" t="s">
        <v>54</v>
      </c>
      <c r="B100" s="29">
        <v>31224.949999999993</v>
      </c>
      <c r="C100" s="30">
        <v>0.37968923367121854</v>
      </c>
      <c r="D100" s="29">
        <v>11988.03</v>
      </c>
      <c r="E100" s="31">
        <v>4.1063829787234045</v>
      </c>
      <c r="F100" s="28">
        <v>47</v>
      </c>
      <c r="I100" s="21" t="s">
        <v>59</v>
      </c>
      <c r="J100" s="25">
        <v>8118.6894999999986</v>
      </c>
      <c r="K100" t="str">
        <f t="shared" si="1"/>
        <v>Bookshelf</v>
      </c>
      <c r="L100" s="25">
        <f t="shared" si="1"/>
        <v>8118.6894999999986</v>
      </c>
    </row>
    <row r="101" spans="1:13" ht="26">
      <c r="A101" s="28" t="s">
        <v>38</v>
      </c>
      <c r="B101" s="29">
        <v>37103.251500000006</v>
      </c>
      <c r="C101" s="30">
        <v>0.33250676060845513</v>
      </c>
      <c r="D101" s="29">
        <v>12591.831500000002</v>
      </c>
      <c r="E101" s="31">
        <v>4.3488372093023253</v>
      </c>
      <c r="F101" s="28">
        <v>43</v>
      </c>
      <c r="I101" s="21" t="s">
        <v>96</v>
      </c>
      <c r="J101" s="25">
        <v>6786.9760000000015</v>
      </c>
      <c r="K101" t="str">
        <f t="shared" si="1"/>
        <v>Laptop Bag</v>
      </c>
      <c r="L101" s="25">
        <f t="shared" si="1"/>
        <v>6786.9760000000015</v>
      </c>
    </row>
    <row r="102" spans="1:13" ht="26">
      <c r="A102" s="28" t="s">
        <v>65</v>
      </c>
      <c r="B102" s="29">
        <v>15289.076499999997</v>
      </c>
      <c r="C102" s="30">
        <v>0.44469790462295566</v>
      </c>
      <c r="D102" s="29">
        <v>6742.1665000000003</v>
      </c>
      <c r="E102" s="31">
        <v>4.3289473684210522</v>
      </c>
      <c r="F102" s="28">
        <v>76</v>
      </c>
      <c r="I102" s="21" t="s">
        <v>78</v>
      </c>
      <c r="J102" s="25">
        <v>6643.1149999999998</v>
      </c>
      <c r="K102" t="str">
        <f t="shared" si="1"/>
        <v>Keyboard</v>
      </c>
      <c r="L102" s="25">
        <f t="shared" si="1"/>
        <v>6643.1149999999998</v>
      </c>
    </row>
    <row r="103" spans="1:13" ht="26">
      <c r="A103" s="28" t="s">
        <v>47</v>
      </c>
      <c r="B103" s="29">
        <v>18478.031999999999</v>
      </c>
      <c r="C103" s="30">
        <v>0.4019849564876794</v>
      </c>
      <c r="D103" s="29">
        <v>7360.9919999999966</v>
      </c>
      <c r="E103" s="31">
        <v>4.3108108108108105</v>
      </c>
      <c r="F103" s="28">
        <v>74</v>
      </c>
      <c r="I103" s="21" t="s">
        <v>391</v>
      </c>
      <c r="J103" s="25">
        <v>53955.226999999992</v>
      </c>
    </row>
    <row r="104" spans="1:13" ht="26">
      <c r="A104" s="28" t="s">
        <v>391</v>
      </c>
      <c r="B104" s="29">
        <v>102095.31</v>
      </c>
      <c r="C104" s="30">
        <v>0.39869630091726582</v>
      </c>
      <c r="D104" s="29">
        <v>38683.020000000011</v>
      </c>
      <c r="E104" s="31">
        <v>4.2833333333333332</v>
      </c>
      <c r="F104" s="28">
        <v>240</v>
      </c>
    </row>
    <row r="105" spans="1:13" ht="16.5">
      <c r="A105" t="str">
        <f>A100</f>
        <v>Accessories</v>
      </c>
      <c r="B105">
        <f>B100</f>
        <v>31224.949999999993</v>
      </c>
      <c r="C105">
        <f>C100</f>
        <v>0.37968923367121854</v>
      </c>
      <c r="I105" s="34" t="s">
        <v>433</v>
      </c>
      <c r="J105" s="35"/>
      <c r="K105" s="35"/>
      <c r="L105" s="35"/>
      <c r="M105" s="35"/>
    </row>
    <row r="106" spans="1:13">
      <c r="A106" t="str">
        <f t="shared" ref="A106:C108" si="2">A101</f>
        <v>Furniture</v>
      </c>
      <c r="B106">
        <f t="shared" si="2"/>
        <v>37103.251500000006</v>
      </c>
      <c r="C106">
        <f t="shared" si="2"/>
        <v>0.33250676060845513</v>
      </c>
      <c r="I106" s="20" t="s">
        <v>17</v>
      </c>
      <c r="J106" t="s">
        <v>385</v>
      </c>
      <c r="K106" t="s">
        <v>388</v>
      </c>
      <c r="L106" t="s">
        <v>392</v>
      </c>
      <c r="M106" t="s">
        <v>413</v>
      </c>
    </row>
    <row r="107" spans="1:13">
      <c r="A107" t="str">
        <f t="shared" si="2"/>
        <v>Office Supplies</v>
      </c>
      <c r="B107">
        <f t="shared" si="2"/>
        <v>15289.076499999997</v>
      </c>
      <c r="C107">
        <f t="shared" si="2"/>
        <v>0.44469790462295566</v>
      </c>
      <c r="I107" s="21" t="s">
        <v>63</v>
      </c>
      <c r="J107" s="25">
        <v>23909.243499999993</v>
      </c>
      <c r="K107" s="25">
        <v>9070.4434999999958</v>
      </c>
      <c r="L107">
        <v>60</v>
      </c>
      <c r="M107" s="12">
        <v>4.3</v>
      </c>
    </row>
    <row r="108" spans="1:13">
      <c r="A108" t="str">
        <f t="shared" si="2"/>
        <v>Technology</v>
      </c>
      <c r="B108">
        <f t="shared" si="2"/>
        <v>18478.031999999999</v>
      </c>
      <c r="C108">
        <f t="shared" si="2"/>
        <v>0.4019849564876794</v>
      </c>
      <c r="I108" s="21" t="s">
        <v>36</v>
      </c>
      <c r="J108" s="25">
        <v>31104.826499999999</v>
      </c>
      <c r="K108" s="25">
        <v>11205.426500000003</v>
      </c>
      <c r="L108">
        <v>62</v>
      </c>
      <c r="M108" s="12">
        <v>4.290322580645161</v>
      </c>
    </row>
    <row r="109" spans="1:13">
      <c r="I109" s="21" t="s">
        <v>82</v>
      </c>
      <c r="J109" s="25">
        <v>24822.782000000003</v>
      </c>
      <c r="K109" s="25">
        <v>9904.7519999999968</v>
      </c>
      <c r="L109">
        <v>67</v>
      </c>
      <c r="M109" s="12">
        <v>4.2537313432835822</v>
      </c>
    </row>
    <row r="110" spans="1:13" ht="16.5">
      <c r="A110" s="34" t="s">
        <v>432</v>
      </c>
      <c r="B110" s="35"/>
      <c r="C110" s="35"/>
      <c r="D110" s="35"/>
      <c r="E110" s="35"/>
      <c r="I110" s="21" t="s">
        <v>45</v>
      </c>
      <c r="J110" s="25">
        <v>22258.458000000002</v>
      </c>
      <c r="K110" s="25">
        <v>8502.3979999999992</v>
      </c>
      <c r="L110">
        <v>51</v>
      </c>
      <c r="M110" s="12">
        <v>4.2941176470588234</v>
      </c>
    </row>
    <row r="111" spans="1:13">
      <c r="A111" s="20" t="s">
        <v>396</v>
      </c>
      <c r="B111" t="s">
        <v>386</v>
      </c>
      <c r="I111" s="21" t="s">
        <v>391</v>
      </c>
      <c r="J111" s="25">
        <v>102095.31000000001</v>
      </c>
      <c r="K111" s="25">
        <v>38683.020000000004</v>
      </c>
      <c r="L111">
        <v>240</v>
      </c>
      <c r="M111" s="12">
        <v>4.2833333333333332</v>
      </c>
    </row>
    <row r="112" spans="1:13">
      <c r="A112" s="21" t="s">
        <v>397</v>
      </c>
      <c r="B112" s="25">
        <v>6360.7314999999999</v>
      </c>
    </row>
    <row r="113" spans="1:2">
      <c r="A113" s="21" t="s">
        <v>398</v>
      </c>
      <c r="B113" s="25">
        <v>7173.5429999999997</v>
      </c>
    </row>
    <row r="114" spans="1:2">
      <c r="A114" s="21" t="s">
        <v>399</v>
      </c>
      <c r="B114" s="25">
        <v>9602.8790000000008</v>
      </c>
    </row>
    <row r="115" spans="1:2">
      <c r="A115" s="21" t="s">
        <v>400</v>
      </c>
      <c r="B115" s="25">
        <v>11856.366499999998</v>
      </c>
    </row>
    <row r="116" spans="1:2">
      <c r="A116" s="21" t="s">
        <v>401</v>
      </c>
      <c r="B116" s="25">
        <v>16175.435999999998</v>
      </c>
    </row>
    <row r="117" spans="1:2">
      <c r="A117" s="21" t="s">
        <v>402</v>
      </c>
      <c r="B117" s="25">
        <v>5455.5964999999997</v>
      </c>
    </row>
    <row r="118" spans="1:2">
      <c r="A118" s="21" t="s">
        <v>403</v>
      </c>
      <c r="B118" s="25">
        <v>9804.2159999999985</v>
      </c>
    </row>
    <row r="119" spans="1:2">
      <c r="A119" s="21" t="s">
        <v>404</v>
      </c>
      <c r="B119" s="25">
        <v>6982.2564999999995</v>
      </c>
    </row>
    <row r="120" spans="1:2">
      <c r="A120" s="21" t="s">
        <v>405</v>
      </c>
      <c r="B120" s="25">
        <v>5721.6510000000007</v>
      </c>
    </row>
    <row r="121" spans="1:2">
      <c r="A121" s="21" t="s">
        <v>406</v>
      </c>
      <c r="B121" s="25">
        <v>7724.7850000000017</v>
      </c>
    </row>
    <row r="122" spans="1:2">
      <c r="A122" s="21" t="s">
        <v>407</v>
      </c>
      <c r="B122" s="25">
        <v>8420.468499999999</v>
      </c>
    </row>
    <row r="123" spans="1:2">
      <c r="A123" s="21" t="s">
        <v>408</v>
      </c>
      <c r="B123" s="25">
        <v>6817.3804999999984</v>
      </c>
    </row>
    <row r="124" spans="1:2">
      <c r="A124" s="21" t="s">
        <v>391</v>
      </c>
      <c r="B124" s="25">
        <v>102095.31</v>
      </c>
    </row>
    <row r="126" spans="1:2">
      <c r="A126" s="20" t="s">
        <v>396</v>
      </c>
      <c r="B126" t="s">
        <v>388</v>
      </c>
    </row>
    <row r="127" spans="1:2">
      <c r="A127" s="21" t="s">
        <v>397</v>
      </c>
      <c r="B127" s="25">
        <v>2614.7814999999996</v>
      </c>
    </row>
    <row r="128" spans="1:2">
      <c r="A128" s="21" t="s">
        <v>398</v>
      </c>
      <c r="B128" s="25">
        <v>2918.1229999999996</v>
      </c>
    </row>
    <row r="129" spans="1:2">
      <c r="A129" s="21" t="s">
        <v>399</v>
      </c>
      <c r="B129" s="25">
        <v>3796.2089999999994</v>
      </c>
    </row>
    <row r="130" spans="1:2">
      <c r="A130" s="21" t="s">
        <v>400</v>
      </c>
      <c r="B130" s="25">
        <v>4271.6765000000005</v>
      </c>
    </row>
    <row r="131" spans="1:2">
      <c r="A131" s="21" t="s">
        <v>401</v>
      </c>
      <c r="B131" s="25">
        <v>5663.2959999999994</v>
      </c>
    </row>
    <row r="132" spans="1:2">
      <c r="A132" s="21" t="s">
        <v>402</v>
      </c>
      <c r="B132" s="25">
        <v>2347.5164999999997</v>
      </c>
    </row>
    <row r="133" spans="1:2">
      <c r="A133" s="21" t="s">
        <v>403</v>
      </c>
      <c r="B133" s="25">
        <v>3556.4559999999997</v>
      </c>
    </row>
    <row r="134" spans="1:2">
      <c r="A134" s="21" t="s">
        <v>404</v>
      </c>
      <c r="B134" s="25">
        <v>2770.8165000000004</v>
      </c>
    </row>
    <row r="135" spans="1:2">
      <c r="A135" s="21" t="s">
        <v>405</v>
      </c>
      <c r="B135" s="25">
        <v>2406.8309999999997</v>
      </c>
    </row>
    <row r="136" spans="1:2">
      <c r="A136" s="21" t="s">
        <v>406</v>
      </c>
      <c r="B136" s="25">
        <v>3034.2249999999995</v>
      </c>
    </row>
    <row r="137" spans="1:2">
      <c r="A137" s="21" t="s">
        <v>407</v>
      </c>
      <c r="B137" s="25">
        <v>3084.2885000000001</v>
      </c>
    </row>
    <row r="138" spans="1:2">
      <c r="A138" s="21" t="s">
        <v>408</v>
      </c>
      <c r="B138" s="25">
        <v>2218.8004999999998</v>
      </c>
    </row>
    <row r="139" spans="1:2">
      <c r="A139" s="21" t="s">
        <v>391</v>
      </c>
      <c r="B139" s="25">
        <v>38683.01999999999</v>
      </c>
    </row>
  </sheetData>
  <mergeCells count="19">
    <mergeCell ref="A110:E110"/>
    <mergeCell ref="I105:M105"/>
    <mergeCell ref="I7:K7"/>
    <mergeCell ref="A58:E58"/>
    <mergeCell ref="I54:M54"/>
    <mergeCell ref="A82:E82"/>
    <mergeCell ref="I71:M71"/>
    <mergeCell ref="A91:E91"/>
    <mergeCell ref="I87:M87"/>
    <mergeCell ref="A23:E23"/>
    <mergeCell ref="H23:L23"/>
    <mergeCell ref="A32:E32"/>
    <mergeCell ref="I31:M31"/>
    <mergeCell ref="A43:E43"/>
    <mergeCell ref="I42:M42"/>
    <mergeCell ref="A2:E2"/>
    <mergeCell ref="H2:L2"/>
    <mergeCell ref="A7:E7"/>
    <mergeCell ref="A12:E12"/>
  </mergeCells>
  <conditionalFormatting pivot="1" sqref="B14:B17">
    <cfRule type="colorScale" priority="14">
      <colorScale>
        <cfvo type="min"/>
        <cfvo type="max"/>
        <color rgb="FFFCFCFF"/>
        <color rgb="FF63BE7B"/>
      </colorScale>
    </cfRule>
  </conditionalFormatting>
  <conditionalFormatting pivot="1" sqref="B100:B103">
    <cfRule type="expression" priority="10">
      <formula>"IF %&gt;=80%: Dark Green 🟢 IF %&gt;=50%: Light Green 🟡 IF %&lt;50%: Red 🔴"</formula>
    </cfRule>
  </conditionalFormatting>
  <conditionalFormatting pivot="1" sqref="B100:B103">
    <cfRule type="colorScale" priority="9">
      <colorScale>
        <cfvo type="min"/>
        <cfvo type="percentile" val="50"/>
        <cfvo type="max"/>
        <color rgb="FFFF0000"/>
        <color rgb="FFFFEB84"/>
        <color theme="9" tint="0.59999389629810485"/>
      </colorScale>
    </cfRule>
  </conditionalFormatting>
  <conditionalFormatting pivot="1" sqref="C100:C103">
    <cfRule type="colorScale" priority="8">
      <colorScale>
        <cfvo type="min"/>
        <cfvo type="percentile" val="50"/>
        <cfvo type="max"/>
        <color rgb="FFDF2531"/>
        <color rgb="FFFFEB84"/>
        <color theme="9" tint="0.59999389629810485"/>
      </colorScale>
    </cfRule>
  </conditionalFormatting>
  <conditionalFormatting pivot="1" sqref="D100:D103">
    <cfRule type="colorScale" priority="7">
      <colorScale>
        <cfvo type="min"/>
        <cfvo type="percentile" val="50"/>
        <cfvo type="max"/>
        <color rgb="FFFF0000"/>
        <color rgb="FFFFEB84"/>
        <color theme="9" tint="0.59999389629810485"/>
      </colorScale>
    </cfRule>
  </conditionalFormatting>
  <conditionalFormatting pivot="1" sqref="E100:E103">
    <cfRule type="colorScale" priority="6">
      <colorScale>
        <cfvo type="min"/>
        <cfvo type="percentile" val="50"/>
        <cfvo type="max"/>
        <color rgb="FFFF0000"/>
        <color rgb="FFFFEB84"/>
        <color rgb="FF63BE7B"/>
      </colorScale>
    </cfRule>
  </conditionalFormatting>
  <conditionalFormatting pivot="1" sqref="J89:J93">
    <cfRule type="colorScale" priority="5">
      <colorScale>
        <cfvo type="min"/>
        <cfvo type="percentile" val="50"/>
        <cfvo type="max"/>
        <color rgb="FFFF0000"/>
        <color rgb="FFFFEB84"/>
        <color rgb="FF63BE7B"/>
      </colorScale>
    </cfRule>
  </conditionalFormatting>
  <conditionalFormatting pivot="1" sqref="K89:K93">
    <cfRule type="colorScale" priority="4">
      <colorScale>
        <cfvo type="min"/>
        <cfvo type="percentile" val="50"/>
        <cfvo type="max"/>
        <color rgb="FFFF0000"/>
        <color rgb="FFFFEB84"/>
        <color rgb="FF63BE7B"/>
      </colorScale>
    </cfRule>
  </conditionalFormatting>
  <conditionalFormatting pivot="1" sqref="L89:L93">
    <cfRule type="colorScale" priority="3">
      <colorScale>
        <cfvo type="min"/>
        <cfvo type="percentile" val="50"/>
        <cfvo type="max"/>
        <color rgb="FFF8696B"/>
        <color rgb="FFFFEB84"/>
        <color rgb="FF63BE7B"/>
      </colorScale>
    </cfRule>
  </conditionalFormatting>
  <conditionalFormatting pivot="1" sqref="M89:M93">
    <cfRule type="colorScale" priority="2">
      <colorScale>
        <cfvo type="min"/>
        <cfvo type="percentile" val="50"/>
        <cfvo type="max"/>
        <color rgb="FFF8696B"/>
        <color rgb="FFFFEB84"/>
        <color rgb="FF63BE7B"/>
      </colorScale>
    </cfRule>
  </conditionalFormatting>
  <conditionalFormatting pivot="1" sqref="N89:O9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05FEA-6A8F-44CD-BE52-D91ADDF18CEE}">
  <sheetPr codeName="Sheet5">
    <pageSetUpPr fitToPage="1"/>
  </sheetPr>
  <dimension ref="ZZ1"/>
  <sheetViews>
    <sheetView tabSelected="1" zoomScaleNormal="100" workbookViewId="0">
      <selection activeCell="AX46" sqref="AX46"/>
    </sheetView>
  </sheetViews>
  <sheetFormatPr defaultRowHeight="14"/>
  <cols>
    <col min="1" max="16384" width="8.6640625" style="18"/>
  </cols>
  <sheetData>
    <row r="1" spans="702:702">
      <c r="ZZ1" s="18" t="s">
        <v>458</v>
      </c>
    </row>
  </sheetData>
  <printOptions horizontalCentered="1"/>
  <pageMargins left="0.35" right="0.35" top="0.35" bottom="0.35" header="0.15" footer="0.15"/>
  <pageSetup paperSize="9" scale="10" fitToHeight="0" orientation="landscape" r:id="rId1"/>
  <headerFooter>
    <oddFooter>&amp;CPakistan Sales Dashboard — FY Overview | Exported: 13-Jun-2026 14:22 | Page &amp;P of &amp;N&amp;RCONFIDENTIAL</oddFooter>
  </headerFooter>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B6415-83B6-4503-A652-D74D0C70EE16}">
  <sheetPr codeName="Sheet6">
    <pageSetUpPr fitToPage="1"/>
  </sheetPr>
  <dimension ref="A46"/>
  <sheetViews>
    <sheetView zoomScale="36" zoomScaleNormal="36" workbookViewId="0">
      <selection activeCell="AX46" sqref="AX46"/>
    </sheetView>
  </sheetViews>
  <sheetFormatPr defaultRowHeight="14"/>
  <cols>
    <col min="1" max="16384" width="8.6640625" style="18"/>
  </cols>
  <sheetData>
    <row r="46" ht="12" customHeight="1"/>
  </sheetData>
  <printOptions horizontalCentered="1"/>
  <pageMargins left="0.35" right="0.35" top="0.35" bottom="0.35" header="0.15" footer="0.15"/>
  <pageSetup paperSize="9" scale="32" fitToHeight="0" orientation="landscape" r:id="rId1"/>
  <headerFooter>
    <oddFooter>&amp;CPakistan Sales Dashboard — FY Overview | Exported: 13-Jun-2026 14:22 | Page &amp;P of &amp;N&amp;RCONFIDENTIAL</oddFooter>
  </headerFooter>
  <drawing r:id="rId2"/>
  <legacy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10A2C-5FA6-456D-BF72-CB1653367C47}">
  <sheetPr codeName="Sheet7"/>
  <dimension ref="A1:E8"/>
  <sheetViews>
    <sheetView workbookViewId="0"/>
  </sheetViews>
  <sheetFormatPr defaultRowHeight="14"/>
  <sheetData>
    <row r="1" spans="1:5">
      <c r="A1" t="s">
        <v>441</v>
      </c>
      <c r="B1" t="s">
        <v>442</v>
      </c>
      <c r="C1" t="s">
        <v>443</v>
      </c>
      <c r="D1" t="s">
        <v>444</v>
      </c>
      <c r="E1" t="s">
        <v>445</v>
      </c>
    </row>
    <row r="2" spans="1:5">
      <c r="A2" s="33">
        <v>46186.522974537038</v>
      </c>
      <c r="B2" t="s">
        <v>446</v>
      </c>
      <c r="C2" t="s">
        <v>447</v>
      </c>
      <c r="D2" t="s">
        <v>448</v>
      </c>
      <c r="E2" t="s">
        <v>449</v>
      </c>
    </row>
    <row r="3" spans="1:5">
      <c r="A3" s="33">
        <v>46186.57608796296</v>
      </c>
      <c r="B3" t="s">
        <v>446</v>
      </c>
      <c r="C3" t="s">
        <v>450</v>
      </c>
      <c r="D3" t="s">
        <v>448</v>
      </c>
      <c r="E3" t="s">
        <v>449</v>
      </c>
    </row>
    <row r="4" spans="1:5">
      <c r="A4" s="33">
        <v>46186.579270833332</v>
      </c>
      <c r="B4" t="s">
        <v>446</v>
      </c>
      <c r="C4" t="s">
        <v>451</v>
      </c>
      <c r="D4" t="s">
        <v>448</v>
      </c>
      <c r="E4" t="s">
        <v>449</v>
      </c>
    </row>
    <row r="5" spans="1:5">
      <c r="A5" s="33">
        <v>46186.587141203701</v>
      </c>
      <c r="B5" t="s">
        <v>446</v>
      </c>
      <c r="C5" t="s">
        <v>452</v>
      </c>
      <c r="D5" t="s">
        <v>453</v>
      </c>
      <c r="E5" t="s">
        <v>449</v>
      </c>
    </row>
    <row r="6" spans="1:5">
      <c r="A6" s="33">
        <v>46186.591296296298</v>
      </c>
      <c r="B6" t="s">
        <v>446</v>
      </c>
      <c r="C6" t="s">
        <v>454</v>
      </c>
      <c r="D6" t="s">
        <v>455</v>
      </c>
      <c r="E6" t="s">
        <v>449</v>
      </c>
    </row>
    <row r="7" spans="1:5">
      <c r="A7" s="33">
        <v>46186.597893518519</v>
      </c>
      <c r="B7" t="s">
        <v>446</v>
      </c>
      <c r="C7" t="s">
        <v>456</v>
      </c>
      <c r="D7" t="s">
        <v>457</v>
      </c>
      <c r="E7" t="s">
        <v>449</v>
      </c>
    </row>
    <row r="8" spans="1:5">
      <c r="A8" s="33">
        <v>46186.598935185182</v>
      </c>
      <c r="B8" t="s">
        <v>446</v>
      </c>
      <c r="C8" t="s">
        <v>459</v>
      </c>
      <c r="D8" t="s">
        <v>460</v>
      </c>
      <c r="E8" t="s">
        <v>449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Dashboard_Questions</vt:lpstr>
      <vt:lpstr>Read_Me</vt:lpstr>
      <vt:lpstr>Sales_Data</vt:lpstr>
      <vt:lpstr>Pivot_Tables</vt:lpstr>
      <vt:lpstr>EXECUTIVE SUMMARY</vt:lpstr>
      <vt:lpstr>DETAILED ANALYSIS</vt:lpstr>
      <vt:lpstr>ExportLog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Shehzad Hussain Golpa</dc:creator>
  <cp:lastModifiedBy>Shehzad Hussain Golpa</cp:lastModifiedBy>
  <cp:lastPrinted>2026-06-13T09:22:28Z</cp:lastPrinted>
  <dcterms:created xsi:type="dcterms:W3CDTF">2026-06-12T23:47:22Z</dcterms:created>
  <dcterms:modified xsi:type="dcterms:W3CDTF">2026-06-13T09:22:59Z</dcterms:modified>
</cp:coreProperties>
</file>